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trlProps/ctrlProp27.xml" ContentType="application/vnd.ms-excel.controlproperties+xml"/>
  <Override PartName="/xl/drawings/drawing6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7.xml" ContentType="application/vnd.openxmlformats-officedocument.drawing+xml"/>
  <Override PartName="/xl/ctrlProps/ctrlProp34.xml" ContentType="application/vnd.ms-excel.controlproperties+xml"/>
  <Override PartName="/xl/drawings/drawing8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I:\marcellackner\LEC\03_Sonstiges\Vorlage\"/>
    </mc:Choice>
  </mc:AlternateContent>
  <xr:revisionPtr revIDLastSave="0" documentId="10_ncr:8100000_{2739DE31-595F-41C3-84CD-B142FC571927}" xr6:coauthVersionLast="32" xr6:coauthVersionMax="32" xr10:uidLastSave="{00000000-0000-0000-0000-000000000000}"/>
  <bookViews>
    <workbookView xWindow="120" yWindow="240" windowWidth="28515" windowHeight="14250" firstSheet="4" activeTab="5" xr2:uid="{00000000-000D-0000-FFFF-FFFF00000000}"/>
  </bookViews>
  <sheets>
    <sheet name="TMP_MV" sheetId="24" state="hidden" r:id="rId1"/>
    <sheet name="TMP_MV_IMLINK" sheetId="26" state="hidden" r:id="rId2"/>
    <sheet name="TMP_Inputs" sheetId="38" state="hidden" r:id="rId3"/>
    <sheet name="TMP_Diagram_Layout" sheetId="413" state="hidden" r:id="rId4"/>
    <sheet name="CTL_ROI" sheetId="183" r:id="rId5"/>
    <sheet name="CTL_Data_ReadIn" sheetId="28" r:id="rId6"/>
    <sheet name="CTL_Diagrams" sheetId="1" r:id="rId7"/>
    <sheet name="CTL_Fastplot" sheetId="442" r:id="rId8"/>
    <sheet name="CTL_Multiview_IMLINK" sheetId="459" state="hidden" r:id="rId9"/>
    <sheet name="CTL_Multiview" sheetId="458" r:id="rId10"/>
    <sheet name="CTL_Sheet_Overview" sheetId="194" r:id="rId11"/>
    <sheet name="CTL_Emissions" sheetId="541" r:id="rId12"/>
  </sheets>
  <functionGroups builtInGroupCount="19"/>
  <externalReferences>
    <externalReference r:id="rId13"/>
  </externalReferences>
  <definedNames>
    <definedName name="Chart_1" localSheetId="9">CTL_Diagrams!#REF!</definedName>
    <definedName name="Chart_1" localSheetId="8">CTL_Diagrams!#REF!</definedName>
    <definedName name="Chart_1">CTL_Diagrams!#REF!</definedName>
    <definedName name="cora_input_path" localSheetId="9">#REF!</definedName>
    <definedName name="cora_input_path" localSheetId="8">#REF!</definedName>
    <definedName name="cora_input_path">#REF!</definedName>
    <definedName name="cora_version" localSheetId="9">#REF!</definedName>
    <definedName name="cora_version" localSheetId="8">#REF!</definedName>
    <definedName name="cora_version">#REF!</definedName>
    <definedName name="correction_ca" localSheetId="9">#REF!</definedName>
    <definedName name="correction_ca" localSheetId="8">#REF!</definedName>
    <definedName name="correction_ca">#REF!</definedName>
    <definedName name="DIP_cora_version">CTL_Data_ReadIn!$F$6</definedName>
    <definedName name="DIP_crank_angle_correction">CTL_Data_ReadIn!$F$5</definedName>
    <definedName name="DIP_pressure_unit">CTL_Data_ReadIn!$F$4</definedName>
    <definedName name="image_folder" localSheetId="9">CTL_Multiview!#REF!</definedName>
    <definedName name="image_folder" localSheetId="8">TMP_MV!#REF!</definedName>
    <definedName name="image_folder">TMP_MV!#REF!</definedName>
    <definedName name="Img_Add_SetName">[1]Img_Setup!$D$3</definedName>
    <definedName name="inp_x_axis_unit" localSheetId="9">#REF!</definedName>
    <definedName name="inp_x_axis_unit" localSheetId="8">#REF!</definedName>
    <definedName name="inp_x_axis_unit">#REF!</definedName>
    <definedName name="max_crank_angle" localSheetId="9">#REF!</definedName>
    <definedName name="max_crank_angle" localSheetId="8">#REF!</definedName>
    <definedName name="max_crank_angle">#REF!</definedName>
    <definedName name="min_crank_angle" localSheetId="9">#REF!</definedName>
    <definedName name="min_crank_angle" localSheetId="8">#REF!</definedName>
    <definedName name="min_crank_angle">#REF!</definedName>
    <definedName name="out_exp_name" localSheetId="9">#REF!</definedName>
    <definedName name="out_exp_name" localSheetId="8">#REF!</definedName>
    <definedName name="out_exp_name">#REF!</definedName>
    <definedName name="out_fire_" localSheetId="9">Z5S2</definedName>
    <definedName name="out_fire_" localSheetId="8">Z5S2</definedName>
    <definedName name="out_fire_">Z5S2</definedName>
    <definedName name="out_fire_name" localSheetId="9">#REF!</definedName>
    <definedName name="out_fire_name" localSheetId="8">#REF!</definedName>
    <definedName name="out_fire_name">#REF!</definedName>
    <definedName name="out_fire_path" localSheetId="9">#REF!</definedName>
    <definedName name="out_fire_path" localSheetId="8">#REF!</definedName>
    <definedName name="out_fire_path">#REF!</definedName>
    <definedName name="PATH_FIRE_Output" localSheetId="9">Z5S2</definedName>
    <definedName name="PATH_FIRE_Output" localSheetId="8">Z5S2</definedName>
    <definedName name="PATH_FIRE_Output">Z5S2</definedName>
    <definedName name="plot_input" localSheetId="9">#REF!</definedName>
    <definedName name="plot_input" localSheetId="8">#REF!</definedName>
    <definedName name="plot_input">#REF!</definedName>
    <definedName name="pre_roi_detection_margin">CTL_ROI!$B$6</definedName>
    <definedName name="pre_roi_massflow_column">CTL_ROI!$B$5</definedName>
    <definedName name="pre_roi_smoothing_margin">CTL_ROI!$B$7</definedName>
    <definedName name="pre_roi_time_column">CTL_ROI!$B$4</definedName>
    <definedName name="ROIC_Pi1000_Pb060_ET_565" localSheetId="9">#REF!</definedName>
    <definedName name="ROIC_Pi1000_Pb060_ET_565" localSheetId="0">#REF!</definedName>
  </definedNames>
  <calcPr calcId="162913"/>
</workbook>
</file>

<file path=xl/calcChain.xml><?xml version="1.0" encoding="utf-8"?>
<calcChain xmlns="http://schemas.openxmlformats.org/spreadsheetml/2006/main">
  <c r="D12" i="458" l="1"/>
  <c r="C12" i="458"/>
  <c r="C13" i="458" s="1"/>
  <c r="D12" i="24" l="1"/>
  <c r="C12" i="24"/>
  <c r="C13" i="2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NALYSIS" type="6" refreshedVersion="0" background="1" saveData="1">
    <textPr prompt="0" sourceFile="C:\Users\lucaseder\Desktop\ToDo\Excel_new\Postprocess\CORA_ANY_FIR_M011_1_fl2\ANALYSIS.OUT" thousands=" ">
      <textFields>
        <textField/>
      </textFields>
    </textPr>
  </connection>
  <connection id="2" xr16:uid="{00000000-0015-0000-FFFF-FFFF01000000}" name="ANALYSIS1" type="6" refreshedVersion="0" background="1">
    <textPr prompt="0" sourceFile="C:\Users\lucaseder\Desktop\ToDo\Excel_new\Postprocess\CORA_ANY_FIR_M011_1_fl2\ANALYSIS.OUT" thousands=" ">
      <textFields>
        <textField/>
      </textFields>
    </textPr>
  </connection>
  <connection id="3" xr16:uid="{00000000-0015-0000-FFFF-FFFF02000000}" name="ANALYSIS14" type="6" refreshedVersion="0" background="1">
    <textPr prompt="0" sourceFile="C:\Users\lucaseder\Desktop\Analysis_187_1\Postprocess\CORA_ANY_FIR_M011_3_fl2\ANALYSIS.OUT" thousands=" ">
      <textFields>
        <textField/>
      </textFields>
    </textPr>
  </connection>
  <connection id="4" xr16:uid="{00000000-0015-0000-FFFF-FFFF03000000}" name="ANALYSIS2" type="6" refreshedVersion="0" background="1">
    <textPr prompt="0" sourceFile="C:\Users\lucaseder\Desktop\ToDo\Excel_new\Postprocess\CORA_ANY_FIR_M011_1_fl2\ANALYSIS.OUT" thousands=" ">
      <textFields>
        <textField/>
      </textFields>
    </textPr>
  </connection>
  <connection id="5" xr16:uid="{00000000-0015-0000-FFFF-FFFF04000000}" name="ANALYSIS3" type="6" refreshedVersion="0" background="1">
    <textPr prompt="0" sourceFile="C:\Users\lucaseder\Desktop\Analysis_187_1\Postprocess\CORA_ANY_FIR_M011_2_fl2\ANALYSIS.OUT" thousands=" ">
      <textFields>
        <textField/>
      </textFields>
    </textPr>
  </connection>
  <connection id="6" xr16:uid="{00000000-0015-0000-FFFF-FFFF05000000}" name="SLOWDATA" type="6" refreshedVersion="0" background="1">
    <textPr prompt="0" sourceFile="I:\marcellackner\LEC\03_Sonstiges\Version_12_2018_03_29\Slowdata_Measurement\P1_0935.001\SLOWDATA.*" decimal="," thousands=".">
      <textFields>
        <textField/>
      </textFields>
    </textPr>
  </connection>
  <connection id="7" xr16:uid="{00000000-0015-0000-FFFF-FFFF06000000}" name="SLOWDATA1" type="6" refreshedVersion="0" background="1">
    <textPr prompt="0" sourceFile="I:\marcellackner\LEC\03_Sonstiges\Version_12_2018_03_29\Slowdat_Measure\P1_0935.001\SLOWDATA.*" decimal="," thousands=".">
      <textFields>
        <textField/>
      </textFields>
    </textPr>
  </connection>
  <connection id="8" xr16:uid="{00000000-0015-0000-FFFF-FFFF07000000}" name="SLOWDATA10" type="6" refreshedVersion="0" background="1">
    <textPr prompt="0" sourceFile="I:\marcellackner\LEC\03_Sonstiges\Version_12_2018_03_29\Slowdata_measurement\P1_0935.001\SLOWDATA.OUT" decimal="," thousands=".">
      <textFields>
        <textField/>
      </textFields>
    </textPr>
  </connection>
  <connection id="9" xr16:uid="{00000000-0015-0000-FFFF-FFFF08000000}" name="SLOWDATA2" type="6" refreshedVersion="0" background="1">
    <textPr prompt="0" sourceFile="I:\marcellackner\LEC\03_Sonstiges\Version_12_2018_03_29\SDM\P1_0935.001\SLOWDATA.*" decimal="," thousands=".">
      <textFields>
        <textField/>
      </textFields>
    </textPr>
  </connection>
  <connection id="10" xr16:uid="{00000000-0015-0000-FFFF-FFFF09000000}" name="SLOWDATA3" type="6" refreshedVersion="0" background="1">
    <textPr prompt="0" sourceFile="I:\marcellackner\LEC\03_Sonstiges\Version_12_2018_03_29\SDM\P1_0935.001\SLOWDATA.*" decimal="," thousands=".">
      <textFields>
        <textField/>
      </textFields>
    </textPr>
  </connection>
  <connection id="11" xr16:uid="{00000000-0015-0000-FFFF-FFFF0A000000}" name="SLOWDATA4" type="6" refreshedVersion="0" background="1">
    <textPr prompt="0" sourceFile="I:\marcellackner\LEC\03_Sonstiges\Version_12_2018_03_29\SDM\P1_0935.001\SLOWDATA.*" decimal="," thousands=".">
      <textFields>
        <textField/>
      </textFields>
    </textPr>
  </connection>
  <connection id="12" xr16:uid="{00000000-0015-0000-FFFF-FFFF0B000000}" name="SLOWDATA5" type="6" refreshedVersion="0" background="1">
    <textPr prompt="0" sourceFile="I:\marcellackner\LEC\03_Sonstiges\Version_12_2018_03_29\SDM\P1_0935.001\SLOWDATA.*" decimal="," thousands=".">
      <textFields>
        <textField/>
      </textFields>
    </textPr>
  </connection>
  <connection id="13" xr16:uid="{00000000-0015-0000-FFFF-FFFF0C000000}" name="SLOWDATA6" type="6" refreshedVersion="0" background="1">
    <textPr prompt="0" sourceFile="I:\marcellackner\LEC\03_Sonstiges\Version_12_2018_03_29\SDM\P1_0935.001\SLOWDATA.OUT" decimal="," thousands=".">
      <textFields>
        <textField/>
      </textFields>
    </textPr>
  </connection>
  <connection id="14" xr16:uid="{00000000-0015-0000-FFFF-FFFF0D000000}" name="SLOWDATA7" type="6" refreshedVersion="0" background="1">
    <textPr prompt="0" sourceFile="I:\marcellackner\LEC\03_Sonstiges\Version_12_2018_03_29\SDM\P1_0935.001\SLOWDATA.OUT" decimal="," thousands=".">
      <textFields>
        <textField/>
      </textFields>
    </textPr>
  </connection>
  <connection id="15" xr16:uid="{00000000-0015-0000-FFFF-FFFF0E000000}" name="SLOWDATA8" type="6" refreshedVersion="0" background="1">
    <textPr prompt="0" sourceFile="I:\marcellackner\LEC\03_Sonstiges\Version_12_2018_03_29\SDM\P1_0935.001\SLOWDATA.OUT" decimal="," thousands=".">
      <textFields>
        <textField/>
      </textFields>
    </textPr>
  </connection>
  <connection id="16" xr16:uid="{00000000-0015-0000-FFFF-FFFF0F000000}" name="SLOWDATA9" type="6" refreshedVersion="0" background="1">
    <textPr prompt="0" sourceFile="I:\marcellackner\LEC\03_Sonstiges\Version_12_2018_03_29\S\P1_0935.001\SLOWDATA.OU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<sst xmlns="http://schemas.openxmlformats.org/spreadsheetml/2006/main" count="557" uniqueCount="298">
  <si>
    <t>v0.4.2-13</t>
  </si>
  <si>
    <t>Unit</t>
  </si>
  <si>
    <t>CONTROL AREA</t>
  </si>
  <si>
    <t>SLIDER CONTROL</t>
  </si>
  <si>
    <t>2D DATA CONTROL</t>
  </si>
  <si>
    <t>IMAGE CONTROL</t>
  </si>
  <si>
    <t>Min. slider value</t>
  </si>
  <si>
    <t>[integer]</t>
  </si>
  <si>
    <t>Current Folder:</t>
  </si>
  <si>
    <t>Max. slider value</t>
  </si>
  <si>
    <t>Image Names</t>
  </si>
  <si>
    <t>Offset to slider</t>
  </si>
  <si>
    <t>stepsize</t>
  </si>
  <si>
    <t>Format</t>
  </si>
  <si>
    <t>Current slider status</t>
  </si>
  <si>
    <t>IMAGE COMPARISON</t>
  </si>
  <si>
    <t>Number</t>
  </si>
  <si>
    <t>Current running variable</t>
  </si>
  <si>
    <t>Search folder</t>
  </si>
  <si>
    <t>Search file</t>
  </si>
  <si>
    <t>Extension</t>
  </si>
  <si>
    <t>Offset</t>
  </si>
  <si>
    <t>.png</t>
  </si>
  <si>
    <t>Divisor</t>
  </si>
  <si>
    <t>Pascal</t>
  </si>
  <si>
    <t>Quality Check</t>
  </si>
  <si>
    <t>Rate of heat release</t>
  </si>
  <si>
    <t>B</t>
  </si>
  <si>
    <t>[double]</t>
  </si>
  <si>
    <t>FIRE Inputs Overview</t>
  </si>
  <si>
    <t>Operating Point</t>
  </si>
  <si>
    <t>Input Files Comment</t>
  </si>
  <si>
    <t>FIRE version</t>
  </si>
  <si>
    <t>CORA Experimental Results</t>
  </si>
  <si>
    <t>Date of generation</t>
  </si>
  <si>
    <t>Author</t>
  </si>
  <si>
    <t>Input parameter</t>
  </si>
  <si>
    <t>FIRE SSF Section</t>
  </si>
  <si>
    <t>FIRE Variable</t>
  </si>
  <si>
    <t>Value</t>
  </si>
  <si>
    <t>Source</t>
  </si>
  <si>
    <t>Comment</t>
  </si>
  <si>
    <t>Mesh file</t>
  </si>
  <si>
    <t>-</t>
  </si>
  <si>
    <t>deg</t>
  </si>
  <si>
    <t>LEC SCE190 DF Measurements Sept. 2014</t>
  </si>
  <si>
    <t>Nozzle A 433 209 580 (6 holes x 140 deg x 310 ml/30 sec)</t>
  </si>
  <si>
    <t>m</t>
  </si>
  <si>
    <t>Wall Temperatures</t>
  </si>
  <si>
    <t>Head</t>
  </si>
  <si>
    <t>Boundary conditions</t>
  </si>
  <si>
    <t>Temperature</t>
  </si>
  <si>
    <t>K</t>
  </si>
  <si>
    <t>CORA Analysis of 2014 LEC Measurements</t>
  </si>
  <si>
    <t>Piston</t>
  </si>
  <si>
    <t>Liner</t>
  </si>
  <si>
    <t>Engine Data</t>
  </si>
  <si>
    <t>Bore</t>
  </si>
  <si>
    <t>Stroke</t>
  </si>
  <si>
    <t>Conrod length</t>
  </si>
  <si>
    <t>Engine speed</t>
  </si>
  <si>
    <t>Run Mode</t>
  </si>
  <si>
    <t>Engine Speed</t>
  </si>
  <si>
    <t>rpm</t>
  </si>
  <si>
    <t>IVC (start of calculation)</t>
  </si>
  <si>
    <t>Start Angle (+720!)</t>
  </si>
  <si>
    <t>deg CA</t>
  </si>
  <si>
    <t>Miller 35</t>
  </si>
  <si>
    <t>EVO (end of calculation)</t>
  </si>
  <si>
    <t>End Angle (+720!)</t>
  </si>
  <si>
    <t>Gas condition at IVC</t>
  </si>
  <si>
    <t>Pressure</t>
  </si>
  <si>
    <t>Initial Conditions</t>
  </si>
  <si>
    <t>Pa</t>
  </si>
  <si>
    <t>Initial value comes from CORA PMOT</t>
  </si>
  <si>
    <t>Initial value comes from CORA TGASMOT</t>
  </si>
  <si>
    <t>Turbulent kinetic energy</t>
  </si>
  <si>
    <t>Turb. kin. energy</t>
  </si>
  <si>
    <t>m²/s²</t>
  </si>
  <si>
    <t>Assumption</t>
  </si>
  <si>
    <t>Calculated with AVL initialization method</t>
  </si>
  <si>
    <t>Turbulent length scale</t>
  </si>
  <si>
    <t>Turb. length scale</t>
  </si>
  <si>
    <t>Swirl</t>
  </si>
  <si>
    <t>Swirl/Tumble</t>
  </si>
  <si>
    <t>Gas composition at IVC</t>
  </si>
  <si>
    <t>Mass fraction O2</t>
  </si>
  <si>
    <t>Initial values of species</t>
  </si>
  <si>
    <t>Mass fraction N2</t>
  </si>
  <si>
    <t>Mass fraction CO2</t>
  </si>
  <si>
    <t>Mass fraction H2O</t>
  </si>
  <si>
    <t>Mass fraction CH4</t>
  </si>
  <si>
    <t>Mass fraction C2H6</t>
  </si>
  <si>
    <t>Injection/Spray</t>
  </si>
  <si>
    <t>Start of injection</t>
  </si>
  <si>
    <t>Spray</t>
  </si>
  <si>
    <t>Inj. timing start</t>
  </si>
  <si>
    <t>LEC DDFM Measurements</t>
  </si>
  <si>
    <t>End of injection</t>
  </si>
  <si>
    <t>Inj. timing stop</t>
  </si>
  <si>
    <t>Injection duration</t>
  </si>
  <si>
    <t>µs</t>
  </si>
  <si>
    <t>Injected mass (full cylinder)</t>
  </si>
  <si>
    <t>kg</t>
  </si>
  <si>
    <t>Injected mass (sector)</t>
  </si>
  <si>
    <t>Mass in comp. domain</t>
  </si>
  <si>
    <t>Measured mass divided by number of holes</t>
  </si>
  <si>
    <t>Fuel temperature</t>
  </si>
  <si>
    <t>Fluid temperature</t>
  </si>
  <si>
    <t>Past measurements show fuel temp in the range of 40 - 45 °C</t>
  </si>
  <si>
    <t>Rate of injection curve</t>
  </si>
  <si>
    <t>Injection rate</t>
  </si>
  <si>
    <t>ROI curve in separate table</t>
  </si>
  <si>
    <t>Nozzle hole distance from fire deck</t>
  </si>
  <si>
    <t>Z-coordinate</t>
  </si>
  <si>
    <t>CAD/Measured from SCE Components</t>
  </si>
  <si>
    <t>Nozzle hole distance radial from cylinder axis</t>
  </si>
  <si>
    <t>Nozzle daim at hole c. p.</t>
  </si>
  <si>
    <t>Nozzle Drawing</t>
  </si>
  <si>
    <t>Nozzle spray angle</t>
  </si>
  <si>
    <t>Spray angle delta 1</t>
  </si>
  <si>
    <t>Nozzle hole diameter</t>
  </si>
  <si>
    <t>Outer diameter</t>
  </si>
  <si>
    <t>Nozzle Drawing (Standard Value)</t>
  </si>
  <si>
    <t>Initial Parcel Diameter</t>
  </si>
  <si>
    <t>Particle sizes</t>
  </si>
  <si>
    <t>According to nozzle hole</t>
  </si>
  <si>
    <t>Half Spray Cone Angle</t>
  </si>
  <si>
    <t>Half outer cone angle</t>
  </si>
  <si>
    <t>Original Standard Value</t>
  </si>
  <si>
    <t>Wave C2 Constant</t>
  </si>
  <si>
    <t>Wave C2</t>
  </si>
  <si>
    <t>Best Practice</t>
  </si>
  <si>
    <t>Recommended by AVL: 10 - 12</t>
  </si>
  <si>
    <t>Rate of Injection - Preprocessing Tool for CFD simulations</t>
  </si>
  <si>
    <t>Output Files</t>
  </si>
  <si>
    <t>Name of ROI sheet</t>
  </si>
  <si>
    <t>Name of output file</t>
  </si>
  <si>
    <t>file extension</t>
  </si>
  <si>
    <t>Time column</t>
  </si>
  <si>
    <t>Massflow column</t>
  </si>
  <si>
    <t>Apply smoothing</t>
  </si>
  <si>
    <t>A</t>
  </si>
  <si>
    <t>Detection margin</t>
  </si>
  <si>
    <t>Smoothing maring</t>
  </si>
  <si>
    <t>(Version 1.0)</t>
  </si>
  <si>
    <t>(Reads in tab separated data and treats them according to the red-marked input)</t>
  </si>
  <si>
    <t>Sheetname</t>
  </si>
  <si>
    <t>Type coding</t>
  </si>
  <si>
    <t>Experiment</t>
  </si>
  <si>
    <t xml:space="preserve">FIRE </t>
  </si>
  <si>
    <t>ROI file</t>
  </si>
  <si>
    <t>Input file</t>
  </si>
  <si>
    <t>Control File</t>
  </si>
  <si>
    <t>Template file</t>
  </si>
  <si>
    <t xml:space="preserve">Multiview </t>
  </si>
  <si>
    <t>CORA Postprocessed</t>
  </si>
  <si>
    <t>TMP_MV</t>
  </si>
  <si>
    <t>TMP</t>
  </si>
  <si>
    <t>TMP_MV_IMLINK</t>
  </si>
  <si>
    <t>TMP_Inputs</t>
  </si>
  <si>
    <t>CTL</t>
  </si>
  <si>
    <t>CTL_ROI</t>
  </si>
  <si>
    <t>CTL_Sheet_Overview</t>
  </si>
  <si>
    <t>Simulation Read In</t>
  </si>
  <si>
    <t>CORA postprocessed Read In</t>
  </si>
  <si>
    <t>Experiment Read in</t>
  </si>
  <si>
    <t>Quality Check Read In</t>
  </si>
  <si>
    <t>Crank angle correction:</t>
  </si>
  <si>
    <t>CORA version to be used:</t>
  </si>
  <si>
    <t>Pressure unit of FIRE raw data:</t>
  </si>
  <si>
    <t>Experiment files in workbook</t>
  </si>
  <si>
    <t>Simulation files in workbook</t>
  </si>
  <si>
    <t>CORA postprocessed files in workbook</t>
  </si>
  <si>
    <t>Quality Check Files in workbook:</t>
  </si>
  <si>
    <t>CTL_Data_ReadIn</t>
  </si>
  <si>
    <t>(Adds diagrams to the ROI* sheets)</t>
  </si>
  <si>
    <t>Width [cm]</t>
  </si>
  <si>
    <t>Height [cm]</t>
  </si>
  <si>
    <t>Column</t>
  </si>
  <si>
    <t>Title</t>
  </si>
  <si>
    <t>Name</t>
  </si>
  <si>
    <t>Min.</t>
  </si>
  <si>
    <t>Max.</t>
  </si>
  <si>
    <t>Crank angle [°CA]</t>
  </si>
  <si>
    <t>Auto</t>
  </si>
  <si>
    <t>ROHR [J/°CA]</t>
  </si>
  <si>
    <t>Sheet</t>
  </si>
  <si>
    <t>Color</t>
  </si>
  <si>
    <t>Style</t>
  </si>
  <si>
    <t>Thickness</t>
  </si>
  <si>
    <t>D</t>
  </si>
  <si>
    <t>Ana</t>
  </si>
  <si>
    <t>DR</t>
  </si>
  <si>
    <t>Sim</t>
  </si>
  <si>
    <t>Subdiv</t>
  </si>
  <si>
    <t>Maindiv</t>
  </si>
  <si>
    <t>Diagram Control</t>
  </si>
  <si>
    <t>Diagram</t>
  </si>
  <si>
    <t>Line Nr.</t>
  </si>
  <si>
    <t>y-axis</t>
  </si>
  <si>
    <t>X-axis</t>
  </si>
  <si>
    <t>Y-axis</t>
  </si>
  <si>
    <t>Nr.</t>
  </si>
  <si>
    <t>CTL_Diagrams</t>
  </si>
  <si>
    <t>TMP_Diagram_Layout</t>
  </si>
  <si>
    <t>Pressure [Pa]</t>
  </si>
  <si>
    <t>LAYOUT</t>
  </si>
  <si>
    <t>Dropdown information</t>
  </si>
  <si>
    <t>CTL_Multiview</t>
  </si>
  <si>
    <t>Column CORA</t>
  </si>
  <si>
    <t>Column EXP</t>
  </si>
  <si>
    <t>Column FIR</t>
  </si>
  <si>
    <t>Catchstring</t>
  </si>
  <si>
    <t>C</t>
  </si>
  <si>
    <t>Fastplot</t>
  </si>
  <si>
    <t>CTL_Fastplot</t>
  </si>
  <si>
    <t>L</t>
  </si>
  <si>
    <t>000_figure_</t>
  </si>
  <si>
    <t>C:\Users\lucaseder\Desktop\Analysis_187_1\Figures\M001_1_fl3\</t>
  </si>
  <si>
    <t>Choose diagram:</t>
  </si>
  <si>
    <t>CTL_Multiview_IMLINK</t>
  </si>
  <si>
    <t>R</t>
  </si>
  <si>
    <t>M001</t>
  </si>
  <si>
    <t>Crank Angle [deg]</t>
  </si>
  <si>
    <t>Pressure [bar]</t>
  </si>
  <si>
    <t>C:\Users\lucaseder\Desktop\Analysis_kzf_monitoring\Figures\M011_f_fl3\</t>
  </si>
  <si>
    <t>c7h16_massfrac_</t>
  </si>
  <si>
    <t>FIR_PHI_M008_fl2</t>
  </si>
  <si>
    <t>COR_FIR_PHI_M008_fl2</t>
  </si>
  <si>
    <t>FIR_PHI_M022_fl2</t>
  </si>
  <si>
    <t>COR_FIR_PHI_M022_fl2</t>
  </si>
  <si>
    <t>FIR_PHI_M028_fl2</t>
  </si>
  <si>
    <t>COR_FIR_PHI_M028_fl2</t>
  </si>
  <si>
    <t>FIR_PRA_M011_fl2</t>
  </si>
  <si>
    <t>COR_FIR_PRA_M011_fl2</t>
  </si>
  <si>
    <t>FIR_PRA_M012_fl2</t>
  </si>
  <si>
    <t>COR_FIR_PRA_M012_fl2</t>
  </si>
  <si>
    <t>FIR_PRA_M013_fl2</t>
  </si>
  <si>
    <t>COR_FIR_PRA_M013_fl2</t>
  </si>
  <si>
    <t>FIR_SOC_M001_fl2</t>
  </si>
  <si>
    <t>COR_FIR_SOC_M001_fl2</t>
  </si>
  <si>
    <t>FIR_SOC_M006_fl2</t>
  </si>
  <si>
    <t>COR_FIR_SOC_M006_fl2</t>
  </si>
  <si>
    <t>FIR_SOC_M011_fl2</t>
  </si>
  <si>
    <t>COR_FIR_SOC_M011_fl2</t>
  </si>
  <si>
    <t>EXP_PHI_M008</t>
  </si>
  <si>
    <t>EXP_PHI_M022</t>
  </si>
  <si>
    <t>EXP_PHI_M028</t>
  </si>
  <si>
    <t>EXP_PRA_011</t>
  </si>
  <si>
    <t>EXP_PRA_M012</t>
  </si>
  <si>
    <t>EXP_PRA_M013</t>
  </si>
  <si>
    <t>EXP_SOC_M001</t>
  </si>
  <si>
    <t>EXP_SOC_M006</t>
  </si>
  <si>
    <t>EXP_SOC_M011</t>
  </si>
  <si>
    <t>ROHR [J/deg]</t>
  </si>
  <si>
    <t>SOC - M001</t>
  </si>
  <si>
    <t>SOC - M011</t>
  </si>
  <si>
    <t>PHI - M008</t>
  </si>
  <si>
    <t>PRA - M011</t>
  </si>
  <si>
    <t>PRA - M012</t>
  </si>
  <si>
    <t>PHI - M022</t>
  </si>
  <si>
    <t>PHI - M028</t>
  </si>
  <si>
    <t>BC</t>
  </si>
  <si>
    <t>NO - Measurement</t>
  </si>
  <si>
    <t>NO - Simulation</t>
  </si>
  <si>
    <t>CTL_Emissions</t>
  </si>
  <si>
    <t>EMISSION CONTROL AND OVERVIEW</t>
  </si>
  <si>
    <t>Column for EXP_* sheets</t>
  </si>
  <si>
    <t>Column for FIR_* sheets</t>
  </si>
  <si>
    <t>Column for COR_* sheets</t>
  </si>
  <si>
    <t>NO</t>
  </si>
  <si>
    <t>soot</t>
  </si>
  <si>
    <t>T</t>
  </si>
  <si>
    <t>U</t>
  </si>
  <si>
    <t>Measurement file</t>
  </si>
  <si>
    <t>Search string for SDM_* files</t>
  </si>
  <si>
    <t>NO_measure*</t>
  </si>
  <si>
    <t>NO mass / kg</t>
  </si>
  <si>
    <t>NO massfraction  /  kg/kg</t>
  </si>
  <si>
    <t>NO ppm  /  ml/m3</t>
  </si>
  <si>
    <t>Soot  /  kg/kg</t>
  </si>
  <si>
    <t>SDM_P1_0935.001</t>
  </si>
  <si>
    <t>SDM_P1_0935.006</t>
  </si>
  <si>
    <t>SDM_P1_0935.011</t>
  </si>
  <si>
    <t>SDM_P1_0935.008</t>
  </si>
  <si>
    <t>SDM_P1_0935.028</t>
  </si>
  <si>
    <t>SDM_P1_0936.011</t>
  </si>
  <si>
    <t>SDM_P1_0936.012</t>
  </si>
  <si>
    <t>SDM_P1_0936.013</t>
  </si>
  <si>
    <t>SDM_P1_0936.022</t>
  </si>
  <si>
    <t>Soot  /  mg/m3</t>
  </si>
  <si>
    <t>Enter p margin</t>
  </si>
  <si>
    <t>Enter V margin</t>
  </si>
  <si>
    <t>Enter m margin</t>
  </si>
  <si>
    <t>Enter R margin</t>
  </si>
  <si>
    <t>Enter T margin</t>
  </si>
  <si>
    <t>Enter value for timestep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</si>
</sst>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;@"/>
    <numFmt numFmtId="165" formatCode="0.0"/>
    <numFmt numFmtId="166" formatCode="0.0000"/>
    <numFmt numFmtId="167" formatCode="0.00000"/>
    <numFmt numFmtId="168" formatCode="0.000000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4"/>
      <color rgb="FF3F3F3F"/>
      <name val="Calibri"/>
      <family val="2"/>
      <scheme val="minor"/>
    </font>
    <font>
      <b/>
      <sz val="14"/>
      <color rgb="FF3F3F3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rgb="FF000000"/>
      <name val="Calibri"/>
      <family val="2"/>
    </font>
    <font>
      <b/>
      <sz val="20"/>
      <color theme="0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3F3F76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0"/>
      <color rgb="FF000000"/>
      <name val="Calibri"/>
      <family val="2"/>
    </font>
    <font>
      <b/>
      <sz val="20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1B050"/>
        <bgColor indexed="64"/>
      </patternFill>
    </fill>
    <fill>
      <patternFill patternType="solid">
        <fgColor rgb="FF00AA00"/>
        <bgColor indexed="64"/>
      </patternFill>
    </fill>
    <fill>
      <patternFill patternType="solid">
        <fgColor rgb="FFAA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C99"/>
      </patternFill>
    </fill>
    <fill>
      <patternFill patternType="solid">
        <fgColor rgb="FF4F81BD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</fills>
  <borders count="38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/>
      <right/>
      <top style="thin">
        <color rgb="FF3F3F3F"/>
      </top>
      <bottom/>
      <diagonal/>
    </border>
    <border>
      <left/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 style="thin">
        <color rgb="FF3F3F3F"/>
      </bottom>
      <diagonal/>
    </border>
    <border>
      <left/>
      <right/>
      <top style="medium">
        <color indexed="64"/>
      </top>
      <bottom style="thin">
        <color rgb="FF3F3F3F"/>
      </bottom>
      <diagonal/>
    </border>
    <border>
      <left/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1" fillId="4" borderId="0" applyNumberFormat="0" applyBorder="0" applyAlignment="0" applyProtection="0"/>
    <xf numFmtId="0" fontId="18" fillId="17" borderId="29" applyNumberFormat="0" applyAlignment="0" applyProtection="0"/>
  </cellStyleXfs>
  <cellXfs count="153">
    <xf numFmtId="0" fontId="0" fillId="0" borderId="0" xfId="0"/>
    <xf numFmtId="0" fontId="3" fillId="3" borderId="1" xfId="2"/>
    <xf numFmtId="0" fontId="5" fillId="0" borderId="0" xfId="0" applyFont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13" xfId="0" applyBorder="1"/>
    <xf numFmtId="0" fontId="5" fillId="0" borderId="0" xfId="0" applyFont="1" applyBorder="1"/>
    <xf numFmtId="0" fontId="5" fillId="0" borderId="11" xfId="0" applyFont="1" applyBorder="1"/>
    <xf numFmtId="0" fontId="4" fillId="0" borderId="11" xfId="0" applyFont="1" applyBorder="1"/>
    <xf numFmtId="0" fontId="2" fillId="2" borderId="0" xfId="1" applyBorder="1"/>
    <xf numFmtId="0" fontId="2" fillId="2" borderId="0" xfId="1" applyBorder="1" applyAlignment="1">
      <alignment horizontal="right"/>
    </xf>
    <xf numFmtId="0" fontId="9" fillId="4" borderId="14" xfId="3" applyFont="1" applyBorder="1"/>
    <xf numFmtId="0" fontId="9" fillId="4" borderId="15" xfId="3" applyFont="1" applyBorder="1"/>
    <xf numFmtId="0" fontId="9" fillId="4" borderId="16" xfId="3" applyFont="1" applyBorder="1" applyAlignment="1">
      <alignment horizontal="right"/>
    </xf>
    <xf numFmtId="0" fontId="5" fillId="0" borderId="0" xfId="0" applyFont="1" applyFill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5" fillId="0" borderId="19" xfId="0" applyFont="1" applyBorder="1"/>
    <xf numFmtId="0" fontId="0" fillId="0" borderId="0" xfId="0" applyFill="1"/>
    <xf numFmtId="0" fontId="10" fillId="8" borderId="0" xfId="0" applyFont="1" applyFill="1"/>
    <xf numFmtId="0" fontId="0" fillId="8" borderId="0" xfId="0" applyFill="1" applyAlignment="1">
      <alignment horizontal="left"/>
    </xf>
    <xf numFmtId="0" fontId="0" fillId="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6" fillId="0" borderId="0" xfId="0" applyFont="1"/>
    <xf numFmtId="49" fontId="0" fillId="0" borderId="0" xfId="0" applyNumberFormat="1"/>
    <xf numFmtId="164" fontId="0" fillId="0" borderId="0" xfId="0" applyNumberFormat="1" applyAlignment="1">
      <alignment horizontal="left"/>
    </xf>
    <xf numFmtId="0" fontId="0" fillId="8" borderId="0" xfId="0" applyFill="1"/>
    <xf numFmtId="0" fontId="0" fillId="9" borderId="0" xfId="0" applyFill="1"/>
    <xf numFmtId="0" fontId="0" fillId="9" borderId="0" xfId="0" applyFill="1" applyAlignment="1">
      <alignment horizontal="left"/>
    </xf>
    <xf numFmtId="0" fontId="6" fillId="0" borderId="0" xfId="0" applyFont="1" applyAlignment="1">
      <alignment horizontal="left"/>
    </xf>
    <xf numFmtId="165" fontId="11" fillId="0" borderId="0" xfId="0" applyNumberFormat="1" applyFont="1" applyAlignment="1">
      <alignment horizontal="left"/>
    </xf>
    <xf numFmtId="2" fontId="11" fillId="0" borderId="0" xfId="0" applyNumberFormat="1" applyFont="1" applyAlignment="1">
      <alignment horizontal="left"/>
    </xf>
    <xf numFmtId="166" fontId="11" fillId="0" borderId="0" xfId="0" applyNumberFormat="1" applyFont="1" applyAlignment="1">
      <alignment horizontal="left"/>
    </xf>
    <xf numFmtId="167" fontId="0" fillId="0" borderId="0" xfId="0" applyNumberFormat="1" applyAlignment="1">
      <alignment horizontal="left"/>
    </xf>
    <xf numFmtId="0" fontId="11" fillId="0" borderId="0" xfId="0" applyFont="1" applyAlignment="1">
      <alignment horizontal="left"/>
    </xf>
    <xf numFmtId="168" fontId="11" fillId="0" borderId="0" xfId="0" applyNumberFormat="1" applyFont="1" applyAlignment="1">
      <alignment horizontal="left"/>
    </xf>
    <xf numFmtId="0" fontId="0" fillId="0" borderId="0" xfId="0" applyFont="1" applyAlignment="1">
      <alignment horizontal="left"/>
    </xf>
    <xf numFmtId="11" fontId="6" fillId="0" borderId="0" xfId="0" applyNumberFormat="1" applyFont="1" applyAlignment="1">
      <alignment horizontal="left"/>
    </xf>
    <xf numFmtId="11" fontId="0" fillId="0" borderId="0" xfId="0" applyNumberFormat="1" applyAlignment="1">
      <alignment horizontal="left"/>
    </xf>
    <xf numFmtId="0" fontId="0" fillId="0" borderId="0" xfId="0" applyFill="1" applyAlignment="1">
      <alignment horizontal="left"/>
    </xf>
    <xf numFmtId="0" fontId="4" fillId="0" borderId="0" xfId="0" applyFont="1"/>
    <xf numFmtId="0" fontId="4" fillId="0" borderId="23" xfId="0" applyFont="1" applyBorder="1"/>
    <xf numFmtId="0" fontId="4" fillId="0" borderId="25" xfId="0" applyFont="1" applyBorder="1"/>
    <xf numFmtId="0" fontId="0" fillId="11" borderId="24" xfId="0" applyFill="1" applyBorder="1" applyAlignment="1">
      <alignment horizontal="right"/>
    </xf>
    <xf numFmtId="0" fontId="0" fillId="11" borderId="26" xfId="0" applyFill="1" applyBorder="1" applyAlignment="1">
      <alignment horizontal="right"/>
    </xf>
    <xf numFmtId="0" fontId="0" fillId="11" borderId="26" xfId="0" applyFill="1" applyBorder="1"/>
    <xf numFmtId="0" fontId="0" fillId="11" borderId="28" xfId="0" applyFill="1" applyBorder="1"/>
    <xf numFmtId="0" fontId="4" fillId="0" borderId="27" xfId="0" applyFont="1" applyFill="1" applyBorder="1"/>
    <xf numFmtId="0" fontId="0" fillId="13" borderId="0" xfId="0" applyFill="1"/>
    <xf numFmtId="0" fontId="0" fillId="14" borderId="0" xfId="0" applyFill="1"/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/>
    </xf>
    <xf numFmtId="0" fontId="2" fillId="2" borderId="21" xfId="1" applyBorder="1"/>
    <xf numFmtId="0" fontId="0" fillId="0" borderId="0" xfId="0" applyAlignment="1"/>
    <xf numFmtId="0" fontId="4" fillId="0" borderId="30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0" xfId="0" applyFont="1" applyBorder="1" applyAlignment="1">
      <alignment horizontal="center"/>
    </xf>
    <xf numFmtId="0" fontId="3" fillId="3" borderId="34" xfId="2" applyBorder="1" applyAlignment="1">
      <alignment horizontal="center"/>
    </xf>
    <xf numFmtId="0" fontId="18" fillId="18" borderId="30" xfId="4" applyFill="1" applyBorder="1" applyAlignment="1">
      <alignment horizontal="center"/>
    </xf>
    <xf numFmtId="0" fontId="18" fillId="19" borderId="30" xfId="4" applyFill="1" applyBorder="1" applyAlignment="1">
      <alignment horizontal="center"/>
    </xf>
    <xf numFmtId="0" fontId="18" fillId="0" borderId="0" xfId="4" applyFill="1" applyBorder="1" applyAlignment="1"/>
    <xf numFmtId="0" fontId="18" fillId="0" borderId="0" xfId="4" applyFill="1" applyBorder="1" applyAlignment="1">
      <alignment horizontal="center"/>
    </xf>
    <xf numFmtId="0" fontId="18" fillId="20" borderId="30" xfId="4" applyFill="1" applyBorder="1" applyAlignment="1">
      <alignment horizontal="center"/>
    </xf>
    <xf numFmtId="0" fontId="18" fillId="20" borderId="32" xfId="4" applyFill="1" applyBorder="1" applyAlignment="1">
      <alignment horizontal="center"/>
    </xf>
    <xf numFmtId="0" fontId="18" fillId="20" borderId="30" xfId="4" applyFill="1" applyBorder="1" applyAlignment="1"/>
    <xf numFmtId="0" fontId="18" fillId="20" borderId="33" xfId="4" applyFill="1" applyBorder="1" applyAlignment="1"/>
    <xf numFmtId="0" fontId="0" fillId="0" borderId="0" xfId="0" applyFont="1" applyBorder="1" applyAlignment="1">
      <alignment horizontal="center"/>
    </xf>
    <xf numFmtId="0" fontId="20" fillId="21" borderId="30" xfId="4" applyFont="1" applyFill="1" applyBorder="1" applyAlignment="1">
      <alignment horizontal="center"/>
    </xf>
    <xf numFmtId="0" fontId="20" fillId="21" borderId="37" xfId="4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18" fillId="20" borderId="32" xfId="4" applyFill="1" applyBorder="1" applyAlignment="1">
      <alignment horizontal="center"/>
    </xf>
    <xf numFmtId="0" fontId="18" fillId="20" borderId="30" xfId="4" applyFill="1" applyBorder="1" applyAlignment="1">
      <alignment horizontal="center"/>
    </xf>
    <xf numFmtId="0" fontId="0" fillId="0" borderId="30" xfId="0" applyFont="1" applyBorder="1" applyAlignment="1"/>
    <xf numFmtId="0" fontId="18" fillId="20" borderId="32" xfId="4" applyFill="1" applyBorder="1" applyAlignment="1">
      <alignment horizontal="center"/>
    </xf>
    <xf numFmtId="0" fontId="18" fillId="20" borderId="30" xfId="4" applyFill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18" fillId="22" borderId="30" xfId="4" applyFill="1" applyBorder="1" applyAlignment="1">
      <alignment horizontal="center"/>
    </xf>
    <xf numFmtId="0" fontId="18" fillId="16" borderId="30" xfId="4" applyFill="1" applyBorder="1" applyAlignment="1">
      <alignment horizontal="center"/>
    </xf>
    <xf numFmtId="0" fontId="9" fillId="0" borderId="18" xfId="0" applyFont="1" applyBorder="1" applyAlignment="1">
      <alignment horizontal="center" vertical="center"/>
    </xf>
    <xf numFmtId="0" fontId="7" fillId="3" borderId="2" xfId="2" applyFont="1" applyBorder="1" applyAlignment="1">
      <alignment horizontal="left"/>
    </xf>
    <xf numFmtId="0" fontId="7" fillId="3" borderId="3" xfId="2" applyFont="1" applyBorder="1" applyAlignment="1">
      <alignment horizontal="left"/>
    </xf>
    <xf numFmtId="0" fontId="7" fillId="3" borderId="4" xfId="2" applyFont="1" applyBorder="1" applyAlignment="1">
      <alignment horizontal="left"/>
    </xf>
    <xf numFmtId="0" fontId="7" fillId="3" borderId="1" xfId="2" applyFont="1" applyAlignment="1">
      <alignment horizontal="left"/>
    </xf>
    <xf numFmtId="0" fontId="7" fillId="3" borderId="5" xfId="2" applyFont="1" applyBorder="1" applyAlignment="1">
      <alignment horizontal="left"/>
    </xf>
    <xf numFmtId="0" fontId="7" fillId="3" borderId="6" xfId="2" applyFont="1" applyBorder="1" applyAlignment="1">
      <alignment horizontal="left"/>
    </xf>
    <xf numFmtId="0" fontId="7" fillId="3" borderId="7" xfId="2" applyFont="1" applyBorder="1" applyAlignment="1">
      <alignment horizontal="left"/>
    </xf>
    <xf numFmtId="0" fontId="8" fillId="3" borderId="8" xfId="2" applyFont="1" applyBorder="1" applyAlignment="1">
      <alignment horizontal="center"/>
    </xf>
    <xf numFmtId="0" fontId="8" fillId="3" borderId="9" xfId="2" applyFont="1" applyBorder="1" applyAlignment="1">
      <alignment horizontal="center"/>
    </xf>
    <xf numFmtId="0" fontId="8" fillId="3" borderId="10" xfId="2" applyFont="1" applyBorder="1" applyAlignment="1">
      <alignment horizontal="center"/>
    </xf>
    <xf numFmtId="0" fontId="8" fillId="3" borderId="14" xfId="2" applyFont="1" applyBorder="1" applyAlignment="1">
      <alignment horizontal="center"/>
    </xf>
    <xf numFmtId="0" fontId="8" fillId="3" borderId="15" xfId="2" applyFont="1" applyBorder="1" applyAlignment="1">
      <alignment horizontal="center"/>
    </xf>
    <xf numFmtId="0" fontId="8" fillId="3" borderId="16" xfId="2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18" fillId="20" borderId="31" xfId="4" applyFill="1" applyBorder="1" applyAlignment="1">
      <alignment horizontal="center"/>
    </xf>
    <xf numFmtId="0" fontId="18" fillId="20" borderId="33" xfId="4" applyFill="1" applyBorder="1" applyAlignment="1">
      <alignment horizontal="center"/>
    </xf>
    <xf numFmtId="0" fontId="21" fillId="6" borderId="0" xfId="0" applyFont="1" applyFill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18" fillId="20" borderId="32" xfId="4" applyFill="1" applyBorder="1" applyAlignment="1">
      <alignment horizontal="center"/>
    </xf>
    <xf numFmtId="0" fontId="3" fillId="3" borderId="35" xfId="2" applyBorder="1" applyAlignment="1">
      <alignment horizontal="center"/>
    </xf>
    <xf numFmtId="0" fontId="3" fillId="3" borderId="36" xfId="2" applyBorder="1" applyAlignment="1">
      <alignment horizontal="center"/>
    </xf>
    <xf numFmtId="0" fontId="18" fillId="20" borderId="30" xfId="4" applyFill="1" applyBorder="1" applyAlignment="1">
      <alignment horizontal="center"/>
    </xf>
    <xf numFmtId="0" fontId="13" fillId="10" borderId="20" xfId="0" applyFont="1" applyFill="1" applyBorder="1" applyAlignment="1">
      <alignment horizontal="center" vertical="center"/>
    </xf>
    <xf numFmtId="0" fontId="13" fillId="10" borderId="21" xfId="0" applyFont="1" applyFill="1" applyBorder="1" applyAlignment="1">
      <alignment horizontal="center" vertical="center"/>
    </xf>
    <xf numFmtId="0" fontId="13" fillId="10" borderId="22" xfId="0" applyFont="1" applyFill="1" applyBorder="1" applyAlignment="1">
      <alignment horizontal="center" vertical="center"/>
    </xf>
    <xf numFmtId="0" fontId="13" fillId="10" borderId="17" xfId="0" applyFont="1" applyFill="1" applyBorder="1" applyAlignment="1">
      <alignment horizontal="center" vertical="center"/>
    </xf>
    <xf numFmtId="0" fontId="13" fillId="10" borderId="18" xfId="0" applyFont="1" applyFill="1" applyBorder="1" applyAlignment="1">
      <alignment horizontal="center" vertical="center"/>
    </xf>
    <xf numFmtId="0" fontId="13" fillId="10" borderId="19" xfId="0" applyFont="1" applyFill="1" applyBorder="1" applyAlignment="1">
      <alignment horizontal="center" vertical="center"/>
    </xf>
    <xf numFmtId="0" fontId="15" fillId="12" borderId="14" xfId="0" applyFont="1" applyFill="1" applyBorder="1" applyAlignment="1">
      <alignment horizontal="center"/>
    </xf>
    <xf numFmtId="0" fontId="15" fillId="12" borderId="16" xfId="0" applyFont="1" applyFill="1" applyBorder="1" applyAlignment="1">
      <alignment horizontal="center"/>
    </xf>
    <xf numFmtId="0" fontId="15" fillId="15" borderId="14" xfId="0" applyFont="1" applyFill="1" applyBorder="1" applyAlignment="1">
      <alignment horizontal="center"/>
    </xf>
    <xf numFmtId="0" fontId="15" fillId="15" borderId="16" xfId="0" applyFont="1" applyFill="1" applyBorder="1" applyAlignment="1">
      <alignment horizontal="center"/>
    </xf>
    <xf numFmtId="0" fontId="15" fillId="16" borderId="14" xfId="0" applyFont="1" applyFill="1" applyBorder="1" applyAlignment="1">
      <alignment horizontal="center"/>
    </xf>
    <xf numFmtId="0" fontId="15" fillId="16" borderId="16" xfId="0" applyFont="1" applyFill="1" applyBorder="1" applyAlignment="1">
      <alignment horizontal="center"/>
    </xf>
    <xf numFmtId="0" fontId="15" fillId="7" borderId="14" xfId="0" applyFont="1" applyFill="1" applyBorder="1" applyAlignment="1">
      <alignment horizontal="center"/>
    </xf>
    <xf numFmtId="0" fontId="15" fillId="7" borderId="16" xfId="0" applyFont="1" applyFill="1" applyBorder="1" applyAlignment="1">
      <alignment horizontal="center"/>
    </xf>
    <xf numFmtId="0" fontId="16" fillId="12" borderId="20" xfId="0" applyFont="1" applyFill="1" applyBorder="1" applyAlignment="1">
      <alignment horizontal="center" vertical="center"/>
    </xf>
    <xf numFmtId="0" fontId="16" fillId="12" borderId="22" xfId="0" applyFont="1" applyFill="1" applyBorder="1" applyAlignment="1">
      <alignment horizontal="center" vertical="center"/>
    </xf>
    <xf numFmtId="0" fontId="16" fillId="12" borderId="11" xfId="0" applyFont="1" applyFill="1" applyBorder="1" applyAlignment="1">
      <alignment horizontal="center" vertical="center"/>
    </xf>
    <xf numFmtId="0" fontId="16" fillId="12" borderId="12" xfId="0" applyFont="1" applyFill="1" applyBorder="1" applyAlignment="1">
      <alignment horizontal="center" vertical="center"/>
    </xf>
    <xf numFmtId="0" fontId="16" fillId="12" borderId="17" xfId="0" applyFont="1" applyFill="1" applyBorder="1" applyAlignment="1">
      <alignment horizontal="center" vertical="center"/>
    </xf>
    <xf numFmtId="0" fontId="16" fillId="12" borderId="19" xfId="0" applyFont="1" applyFill="1" applyBorder="1" applyAlignment="1">
      <alignment horizontal="center" vertical="center"/>
    </xf>
    <xf numFmtId="0" fontId="16" fillId="15" borderId="20" xfId="0" applyFont="1" applyFill="1" applyBorder="1" applyAlignment="1">
      <alignment horizontal="center" vertical="center"/>
    </xf>
    <xf numFmtId="0" fontId="16" fillId="15" borderId="22" xfId="0" applyFont="1" applyFill="1" applyBorder="1" applyAlignment="1">
      <alignment horizontal="center" vertical="center"/>
    </xf>
    <xf numFmtId="0" fontId="16" fillId="15" borderId="11" xfId="0" applyFont="1" applyFill="1" applyBorder="1" applyAlignment="1">
      <alignment horizontal="center" vertical="center"/>
    </xf>
    <xf numFmtId="0" fontId="16" fillId="15" borderId="12" xfId="0" applyFont="1" applyFill="1" applyBorder="1" applyAlignment="1">
      <alignment horizontal="center" vertical="center"/>
    </xf>
    <xf numFmtId="0" fontId="16" fillId="15" borderId="17" xfId="0" applyFont="1" applyFill="1" applyBorder="1" applyAlignment="1">
      <alignment horizontal="center" vertical="center"/>
    </xf>
    <xf numFmtId="0" fontId="16" fillId="15" borderId="19" xfId="0" applyFont="1" applyFill="1" applyBorder="1" applyAlignment="1">
      <alignment horizontal="center" vertical="center"/>
    </xf>
    <xf numFmtId="0" fontId="16" fillId="16" borderId="20" xfId="0" applyFont="1" applyFill="1" applyBorder="1" applyAlignment="1">
      <alignment horizontal="center" vertical="center"/>
    </xf>
    <xf numFmtId="0" fontId="16" fillId="16" borderId="22" xfId="0" applyFont="1" applyFill="1" applyBorder="1" applyAlignment="1">
      <alignment horizontal="center" vertical="center"/>
    </xf>
    <xf numFmtId="0" fontId="16" fillId="16" borderId="11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/>
    </xf>
    <xf numFmtId="0" fontId="16" fillId="16" borderId="17" xfId="0" applyFont="1" applyFill="1" applyBorder="1" applyAlignment="1">
      <alignment horizontal="center" vertical="center"/>
    </xf>
    <xf numFmtId="0" fontId="16" fillId="16" borderId="19" xfId="0" applyFont="1" applyFill="1" applyBorder="1" applyAlignment="1">
      <alignment horizontal="center" vertical="center"/>
    </xf>
    <xf numFmtId="0" fontId="16" fillId="7" borderId="20" xfId="0" applyFont="1" applyFill="1" applyBorder="1" applyAlignment="1">
      <alignment horizontal="center" vertical="center"/>
    </xf>
    <xf numFmtId="0" fontId="16" fillId="7" borderId="22" xfId="0" applyFont="1" applyFill="1" applyBorder="1" applyAlignment="1">
      <alignment horizontal="center" vertical="center"/>
    </xf>
    <xf numFmtId="0" fontId="16" fillId="7" borderId="11" xfId="0" applyFont="1" applyFill="1" applyBorder="1" applyAlignment="1">
      <alignment horizontal="center" vertical="center"/>
    </xf>
    <xf numFmtId="0" fontId="16" fillId="7" borderId="12" xfId="0" applyFont="1" applyFill="1" applyBorder="1" applyAlignment="1">
      <alignment horizontal="center" vertical="center"/>
    </xf>
    <xf numFmtId="0" fontId="16" fillId="7" borderId="17" xfId="0" applyFont="1" applyFill="1" applyBorder="1" applyAlignment="1">
      <alignment horizontal="center" vertical="center"/>
    </xf>
    <xf numFmtId="0" fontId="16" fillId="7" borderId="19" xfId="0" applyFont="1" applyFill="1" applyBorder="1" applyAlignment="1">
      <alignment horizontal="center" vertical="center"/>
    </xf>
    <xf numFmtId="0" fontId="19" fillId="5" borderId="0" xfId="0" applyFont="1" applyFill="1" applyAlignment="1">
      <alignment horizontal="left" vertical="center"/>
    </xf>
    <xf numFmtId="0" fontId="22" fillId="5" borderId="0" xfId="0" applyFont="1" applyFill="1" applyAlignment="1">
      <alignment horizontal="left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24" fillId="5" borderId="0" xfId="0" applyFont="1" applyFill="1" applyAlignment="1">
      <alignment horizontal="left" vertical="center"/>
    </xf>
    <xf numFmtId="0" fontId="0" fillId="5" borderId="0" xfId="0" applyFill="1" applyAlignment="1">
      <alignment horizontal="left" vertical="center"/>
    </xf>
  </cellXfs>
  <cellStyles count="5">
    <cellStyle name="20 % - Akzent1" xfId="3" builtinId="30"/>
    <cellStyle name="Ausgabe" xfId="2" builtinId="21"/>
    <cellStyle name="Eingabe" xfId="4" builtinId="20"/>
    <cellStyle name="Schlecht" xfId="1" builtinId="27"/>
    <cellStyle name="Standard" xfId="0" builtinId="0"/>
  </cellStyles>
  <dxfs count="0"/>
  <tableStyles count="0" defaultTableStyle="TableStyleMedium2" defaultPivotStyle="PivotStyleLight16"/>
  <colors>
    <mruColors>
      <color rgb="FF01B050"/>
      <color rgb="FF080808"/>
      <color rgb="FF53C1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PHI - M022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Pressure - Measurement</c:v>
          </c:tx>
          <c:spPr>
            <a:ln w="254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A1-4691-99F5-523BDFF46088}"/>
            </c:ext>
          </c:extLst>
        </c:ser>
        <c:ser>
          <c:idx val="1"/>
          <c:order val="1"/>
          <c:tx>
            <c:v>Pressure - Simulation</c:v>
          </c:tx>
          <c:spPr>
            <a:ln w="25400">
              <a:solidFill>
                <a:srgbClr val="C00000"/>
              </a:solidFill>
              <a:prstDash val="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FA1-4691-99F5-523BDFF46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42232"/>
        <c:axId val="64143872"/>
      </c:scatterChart>
      <c:scatterChart>
        <c:scatterStyle val="smoothMarker"/>
        <c:varyColors val="0"/>
        <c:ser>
          <c:idx val="2"/>
          <c:order val="2"/>
          <c:tx>
            <c:v>ROHR - Measurement</c:v>
          </c:tx>
          <c:spPr>
            <a:ln w="25400">
              <a:solidFill>
                <a:srgbClr val="1F497D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FA1-4691-99F5-523BDFF46088}"/>
            </c:ext>
          </c:extLst>
        </c:ser>
        <c:ser>
          <c:idx val="3"/>
          <c:order val="3"/>
          <c:tx>
            <c:v>ROHR - Simulation</c:v>
          </c:tx>
          <c:spPr>
            <a:ln w="25400">
              <a:solidFill>
                <a:srgbClr val="1F497D"/>
              </a:solidFill>
              <a:prstDash val="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FA1-4691-99F5-523BDFF46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834840"/>
        <c:axId val="554690984"/>
      </c:scatterChart>
      <c:valAx>
        <c:axId val="64142232"/>
        <c:scaling>
          <c:orientation val="minMax"/>
          <c:max val="100"/>
          <c:min val="-4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Crank Angle [deg]</a:t>
                </a:r>
              </a:p>
            </c:rich>
          </c:tx>
          <c:overlay val="0"/>
        </c:title>
        <c:numFmt formatCode="###0" sourceLinked="0"/>
        <c:majorTickMark val="none"/>
        <c:minorTickMark val="none"/>
        <c:tickLblPos val="low"/>
        <c:crossAx val="64143872"/>
        <c:crosses val="autoZero"/>
        <c:crossBetween val="midCat"/>
        <c:majorUnit val="40"/>
        <c:minorUnit val="20"/>
      </c:valAx>
      <c:valAx>
        <c:axId val="64143872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Pressure [bar]</a:t>
                </a:r>
              </a:p>
            </c:rich>
          </c:tx>
          <c:overlay val="0"/>
        </c:title>
        <c:numFmt formatCode="0##,#00" sourceLinked="0"/>
        <c:majorTickMark val="none"/>
        <c:minorTickMark val="none"/>
        <c:tickLblPos val="low"/>
        <c:crossAx val="64142232"/>
        <c:crosses val="autoZero"/>
        <c:crossBetween val="midCat"/>
      </c:valAx>
      <c:valAx>
        <c:axId val="554690984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ROHR [J/deg]</a:t>
                </a:r>
              </a:p>
            </c:rich>
          </c:tx>
          <c:overlay val="0"/>
        </c:title>
        <c:numFmt formatCode="0##,#00" sourceLinked="0"/>
        <c:majorTickMark val="out"/>
        <c:minorTickMark val="none"/>
        <c:tickLblPos val="high"/>
        <c:crossAx val="528834840"/>
        <c:crosses val="max"/>
        <c:crossBetween val="midCat"/>
      </c:valAx>
      <c:valAx>
        <c:axId val="528834840"/>
        <c:scaling>
          <c:orientation val="minMax"/>
        </c:scaling>
        <c:delete val="1"/>
        <c:axPos val="b"/>
        <c:numFmt formatCode="0.00E+00" sourceLinked="1"/>
        <c:majorTickMark val="out"/>
        <c:minorTickMark val="none"/>
        <c:tickLblPos val="nextTo"/>
        <c:crossAx val="554690984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PRA - M013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Pressure - Measurement</c:v>
          </c:tx>
          <c:spPr>
            <a:ln w="254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B8-4763-A52B-8DF8D90AF3CF}"/>
            </c:ext>
          </c:extLst>
        </c:ser>
        <c:ser>
          <c:idx val="1"/>
          <c:order val="1"/>
          <c:tx>
            <c:v>Pressure - Simulation</c:v>
          </c:tx>
          <c:spPr>
            <a:ln w="25400">
              <a:solidFill>
                <a:srgbClr val="C00000"/>
              </a:solidFill>
              <a:prstDash val="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B8-4763-A52B-8DF8D90AF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261696"/>
        <c:axId val="573262024"/>
      </c:scatterChart>
      <c:scatterChart>
        <c:scatterStyle val="smoothMarker"/>
        <c:varyColors val="0"/>
        <c:ser>
          <c:idx val="2"/>
          <c:order val="2"/>
          <c:tx>
            <c:v>ROHR - Measurement</c:v>
          </c:tx>
          <c:spPr>
            <a:ln w="25400">
              <a:solidFill>
                <a:srgbClr val="1F497D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B8-4763-A52B-8DF8D90AF3CF}"/>
            </c:ext>
          </c:extLst>
        </c:ser>
        <c:ser>
          <c:idx val="3"/>
          <c:order val="3"/>
          <c:tx>
            <c:v>ROHR - Simulation</c:v>
          </c:tx>
          <c:spPr>
            <a:ln w="25400">
              <a:solidFill>
                <a:srgbClr val="1F497D"/>
              </a:solidFill>
              <a:prstDash val="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B8-4763-A52B-8DF8D90AF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232176"/>
        <c:axId val="573235784"/>
      </c:scatterChart>
      <c:valAx>
        <c:axId val="573261696"/>
        <c:scaling>
          <c:orientation val="minMax"/>
          <c:max val="100"/>
          <c:min val="-4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Crank Angle [deg]</a:t>
                </a:r>
              </a:p>
            </c:rich>
          </c:tx>
          <c:overlay val="0"/>
        </c:title>
        <c:numFmt formatCode="###0" sourceLinked="0"/>
        <c:majorTickMark val="none"/>
        <c:minorTickMark val="none"/>
        <c:tickLblPos val="low"/>
        <c:crossAx val="573262024"/>
        <c:crosses val="autoZero"/>
        <c:crossBetween val="midCat"/>
        <c:majorUnit val="40"/>
        <c:minorUnit val="20"/>
      </c:valAx>
      <c:valAx>
        <c:axId val="573262024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Pressure [bar]</a:t>
                </a:r>
              </a:p>
            </c:rich>
          </c:tx>
          <c:overlay val="0"/>
        </c:title>
        <c:numFmt formatCode="0##,#00" sourceLinked="0"/>
        <c:majorTickMark val="none"/>
        <c:minorTickMark val="none"/>
        <c:tickLblPos val="low"/>
        <c:crossAx val="573261696"/>
        <c:crosses val="autoZero"/>
        <c:crossBetween val="midCat"/>
      </c:valAx>
      <c:valAx>
        <c:axId val="573235784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ROHR [J/deg]</a:t>
                </a:r>
              </a:p>
            </c:rich>
          </c:tx>
          <c:overlay val="0"/>
        </c:title>
        <c:numFmt formatCode="0##,#00" sourceLinked="0"/>
        <c:majorTickMark val="out"/>
        <c:minorTickMark val="none"/>
        <c:tickLblPos val="high"/>
        <c:crossAx val="573232176"/>
        <c:crosses val="max"/>
        <c:crossBetween val="midCat"/>
      </c:valAx>
      <c:valAx>
        <c:axId val="573232176"/>
        <c:scaling>
          <c:orientation val="minMax"/>
        </c:scaling>
        <c:delete val="1"/>
        <c:axPos val="b"/>
        <c:numFmt formatCode="0.00E+00" sourceLinked="1"/>
        <c:majorTickMark val="out"/>
        <c:minorTickMark val="none"/>
        <c:tickLblPos val="nextTo"/>
        <c:crossAx val="573235784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SOC - M001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Pressure - Measurement</c:v>
          </c:tx>
          <c:spPr>
            <a:ln w="254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16-4AE3-8445-EB62B14F8773}"/>
            </c:ext>
          </c:extLst>
        </c:ser>
        <c:ser>
          <c:idx val="1"/>
          <c:order val="1"/>
          <c:tx>
            <c:v>Pressure - Simulation</c:v>
          </c:tx>
          <c:spPr>
            <a:ln w="25400">
              <a:solidFill>
                <a:srgbClr val="C00000"/>
              </a:solidFill>
              <a:prstDash val="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16-4AE3-8445-EB62B14F8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464040"/>
        <c:axId val="584465680"/>
      </c:scatterChart>
      <c:scatterChart>
        <c:scatterStyle val="smoothMarker"/>
        <c:varyColors val="0"/>
        <c:ser>
          <c:idx val="2"/>
          <c:order val="2"/>
          <c:tx>
            <c:v>ROHR - Measurement</c:v>
          </c:tx>
          <c:spPr>
            <a:ln w="25400">
              <a:solidFill>
                <a:srgbClr val="1F497D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16-4AE3-8445-EB62B14F8773}"/>
            </c:ext>
          </c:extLst>
        </c:ser>
        <c:ser>
          <c:idx val="3"/>
          <c:order val="3"/>
          <c:tx>
            <c:v>ROHR - Simulation</c:v>
          </c:tx>
          <c:spPr>
            <a:ln w="25400">
              <a:solidFill>
                <a:srgbClr val="1F497D"/>
              </a:solidFill>
              <a:prstDash val="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416-4AE3-8445-EB62B14F8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471256"/>
        <c:axId val="584469288"/>
      </c:scatterChart>
      <c:valAx>
        <c:axId val="584464040"/>
        <c:scaling>
          <c:orientation val="minMax"/>
          <c:max val="100"/>
          <c:min val="-4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Crank Angle [deg]</a:t>
                </a:r>
              </a:p>
            </c:rich>
          </c:tx>
          <c:overlay val="0"/>
        </c:title>
        <c:numFmt formatCode="###0" sourceLinked="0"/>
        <c:majorTickMark val="none"/>
        <c:minorTickMark val="none"/>
        <c:tickLblPos val="low"/>
        <c:crossAx val="584465680"/>
        <c:crosses val="autoZero"/>
        <c:crossBetween val="midCat"/>
        <c:majorUnit val="40"/>
        <c:minorUnit val="20"/>
      </c:valAx>
      <c:valAx>
        <c:axId val="584465680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Pressure [bar]</a:t>
                </a:r>
              </a:p>
            </c:rich>
          </c:tx>
          <c:overlay val="0"/>
        </c:title>
        <c:numFmt formatCode="0##,#00" sourceLinked="0"/>
        <c:majorTickMark val="none"/>
        <c:minorTickMark val="none"/>
        <c:tickLblPos val="low"/>
        <c:crossAx val="584464040"/>
        <c:crosses val="autoZero"/>
        <c:crossBetween val="midCat"/>
      </c:valAx>
      <c:valAx>
        <c:axId val="584469288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ROHR [J/deg]</a:t>
                </a:r>
              </a:p>
            </c:rich>
          </c:tx>
          <c:overlay val="0"/>
        </c:title>
        <c:numFmt formatCode="0##,#00" sourceLinked="0"/>
        <c:majorTickMark val="out"/>
        <c:minorTickMark val="none"/>
        <c:tickLblPos val="high"/>
        <c:crossAx val="584471256"/>
        <c:crosses val="max"/>
        <c:crossBetween val="midCat"/>
      </c:valAx>
      <c:valAx>
        <c:axId val="584471256"/>
        <c:scaling>
          <c:orientation val="minMax"/>
        </c:scaling>
        <c:delete val="1"/>
        <c:axPos val="b"/>
        <c:numFmt formatCode="0.00E+00" sourceLinked="1"/>
        <c:majorTickMark val="out"/>
        <c:minorTickMark val="none"/>
        <c:tickLblPos val="nextTo"/>
        <c:crossAx val="584469288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SOC - M006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Pressure - Measurement</c:v>
          </c:tx>
          <c:spPr>
            <a:ln w="254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77-4557-A8BE-E872E71F91FD}"/>
            </c:ext>
          </c:extLst>
        </c:ser>
        <c:ser>
          <c:idx val="1"/>
          <c:order val="1"/>
          <c:tx>
            <c:v>Pressure - Simulation</c:v>
          </c:tx>
          <c:spPr>
            <a:ln w="25400">
              <a:solidFill>
                <a:srgbClr val="C00000"/>
              </a:solidFill>
              <a:prstDash val="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77-4557-A8BE-E872E71F9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034816"/>
        <c:axId val="561031536"/>
      </c:scatterChart>
      <c:scatterChart>
        <c:scatterStyle val="smoothMarker"/>
        <c:varyColors val="0"/>
        <c:ser>
          <c:idx val="2"/>
          <c:order val="2"/>
          <c:tx>
            <c:v>ROHR - Measurement</c:v>
          </c:tx>
          <c:spPr>
            <a:ln w="25400">
              <a:solidFill>
                <a:srgbClr val="1F497D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77-4557-A8BE-E872E71F91FD}"/>
            </c:ext>
          </c:extLst>
        </c:ser>
        <c:ser>
          <c:idx val="3"/>
          <c:order val="3"/>
          <c:tx>
            <c:v>ROHR - Simulation</c:v>
          </c:tx>
          <c:spPr>
            <a:ln w="25400">
              <a:solidFill>
                <a:srgbClr val="1F497D"/>
              </a:solidFill>
              <a:prstDash val="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F77-4557-A8BE-E872E71F9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691984"/>
        <c:axId val="489663592"/>
      </c:scatterChart>
      <c:valAx>
        <c:axId val="561034816"/>
        <c:scaling>
          <c:orientation val="minMax"/>
          <c:max val="100"/>
          <c:min val="-4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Crank Angle [deg]</a:t>
                </a:r>
              </a:p>
            </c:rich>
          </c:tx>
          <c:overlay val="0"/>
        </c:title>
        <c:numFmt formatCode="###0" sourceLinked="0"/>
        <c:majorTickMark val="none"/>
        <c:minorTickMark val="none"/>
        <c:tickLblPos val="low"/>
        <c:crossAx val="561031536"/>
        <c:crosses val="autoZero"/>
        <c:crossBetween val="midCat"/>
        <c:majorUnit val="40"/>
        <c:minorUnit val="20"/>
      </c:valAx>
      <c:valAx>
        <c:axId val="561031536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Pressure [bar]</a:t>
                </a:r>
              </a:p>
            </c:rich>
          </c:tx>
          <c:overlay val="0"/>
        </c:title>
        <c:numFmt formatCode="0##,#00" sourceLinked="0"/>
        <c:majorTickMark val="none"/>
        <c:minorTickMark val="none"/>
        <c:tickLblPos val="low"/>
        <c:crossAx val="561034816"/>
        <c:crosses val="autoZero"/>
        <c:crossBetween val="midCat"/>
      </c:valAx>
      <c:valAx>
        <c:axId val="489663592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ROHR [J/deg]</a:t>
                </a:r>
              </a:p>
            </c:rich>
          </c:tx>
          <c:overlay val="0"/>
        </c:title>
        <c:numFmt formatCode="0##,#00" sourceLinked="0"/>
        <c:majorTickMark val="out"/>
        <c:minorTickMark val="none"/>
        <c:tickLblPos val="high"/>
        <c:crossAx val="486691984"/>
        <c:crosses val="max"/>
        <c:crossBetween val="midCat"/>
      </c:valAx>
      <c:valAx>
        <c:axId val="486691984"/>
        <c:scaling>
          <c:orientation val="minMax"/>
        </c:scaling>
        <c:delete val="1"/>
        <c:axPos val="b"/>
        <c:numFmt formatCode="0.00E+00" sourceLinked="1"/>
        <c:majorTickMark val="out"/>
        <c:minorTickMark val="none"/>
        <c:tickLblPos val="nextTo"/>
        <c:crossAx val="489663592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SOC - M011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Pressure - Measurement</c:v>
          </c:tx>
          <c:spPr>
            <a:ln w="25400">
              <a:solidFill>
                <a:srgbClr val="C00000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1E-4EAC-92C4-63F7CCE0E24F}"/>
            </c:ext>
          </c:extLst>
        </c:ser>
        <c:ser>
          <c:idx val="1"/>
          <c:order val="1"/>
          <c:tx>
            <c:v>Pressure - Simulation</c:v>
          </c:tx>
          <c:spPr>
            <a:ln w="25400">
              <a:solidFill>
                <a:srgbClr val="C00000"/>
              </a:solidFill>
              <a:prstDash val="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1E-4EAC-92C4-63F7CCE0E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0606800"/>
        <c:axId val="690609752"/>
      </c:scatterChart>
      <c:scatterChart>
        <c:scatterStyle val="smoothMarker"/>
        <c:varyColors val="0"/>
        <c:ser>
          <c:idx val="2"/>
          <c:order val="2"/>
          <c:tx>
            <c:v>ROHR - Measurement</c:v>
          </c:tx>
          <c:spPr>
            <a:ln w="25400">
              <a:solidFill>
                <a:srgbClr val="1F497D"/>
              </a:solidFill>
              <a:prstDash val="solid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1E-4EAC-92C4-63F7CCE0E24F}"/>
            </c:ext>
          </c:extLst>
        </c:ser>
        <c:ser>
          <c:idx val="3"/>
          <c:order val="3"/>
          <c:tx>
            <c:v>ROHR - Simulation</c:v>
          </c:tx>
          <c:spPr>
            <a:ln w="25400">
              <a:solidFill>
                <a:srgbClr val="1F497D"/>
              </a:solidFill>
              <a:prstDash val="dash"/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1E-4EAC-92C4-63F7CCE0E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905632"/>
        <c:axId val="490910224"/>
      </c:scatterChart>
      <c:valAx>
        <c:axId val="690606800"/>
        <c:scaling>
          <c:orientation val="minMax"/>
          <c:max val="100"/>
          <c:min val="-4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Crank Angle [deg]</a:t>
                </a:r>
              </a:p>
            </c:rich>
          </c:tx>
          <c:overlay val="0"/>
        </c:title>
        <c:numFmt formatCode="###0" sourceLinked="0"/>
        <c:majorTickMark val="none"/>
        <c:minorTickMark val="none"/>
        <c:tickLblPos val="low"/>
        <c:crossAx val="690609752"/>
        <c:crosses val="autoZero"/>
        <c:crossBetween val="midCat"/>
        <c:majorUnit val="40"/>
        <c:minorUnit val="20"/>
      </c:valAx>
      <c:valAx>
        <c:axId val="690609752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Pressure [bar]</a:t>
                </a:r>
              </a:p>
            </c:rich>
          </c:tx>
          <c:overlay val="0"/>
        </c:title>
        <c:numFmt formatCode="0##,#00" sourceLinked="0"/>
        <c:majorTickMark val="none"/>
        <c:minorTickMark val="none"/>
        <c:tickLblPos val="low"/>
        <c:crossAx val="690606800"/>
        <c:crosses val="autoZero"/>
        <c:crossBetween val="midCat"/>
      </c:valAx>
      <c:valAx>
        <c:axId val="490910224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ROHR [J/deg]</a:t>
                </a:r>
              </a:p>
            </c:rich>
          </c:tx>
          <c:overlay val="0"/>
        </c:title>
        <c:numFmt formatCode="0##,#00" sourceLinked="0"/>
        <c:majorTickMark val="out"/>
        <c:minorTickMark val="none"/>
        <c:tickLblPos val="high"/>
        <c:crossAx val="490905632"/>
        <c:crosses val="max"/>
        <c:crossBetween val="midCat"/>
      </c:valAx>
      <c:valAx>
        <c:axId val="490905632"/>
        <c:scaling>
          <c:orientation val="minMax"/>
        </c:scaling>
        <c:delete val="1"/>
        <c:axPos val="b"/>
        <c:numFmt formatCode="0.00E+00" sourceLinked="1"/>
        <c:majorTickMark val="out"/>
        <c:minorTickMark val="none"/>
        <c:tickLblPos val="nextTo"/>
        <c:crossAx val="490910224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16" fmlaLink="C7" horiz="1" inc="3" max="40" noThreeD="1" page="3" val="12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16" noThreeD="1" sel="0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Drop" dropLines="27" dropStyle="combo" dx="22" fmlaLink="$E$9" noThreeD="1" sel="7" val="0">
  <itemLst>
    <item val="EXP_PHI_M008"/>
    <item val="EXP_PHI_M022"/>
    <item val="EXP_PHI_M028"/>
    <item val="EXP_PRA_011"/>
    <item val="EXP_PRA_M012"/>
    <item val="EXP_PRA_M013"/>
    <item val="EXP_SOC_M001"/>
    <item val="EXP_SOC_M006"/>
    <item val="EXP_SOC_M011"/>
    <item val="FIR_PHI_M008_fl2"/>
    <item val="COR_FIR_PHI_M008_fl2"/>
    <item val="FIR_PHI_M022_fl2"/>
    <item val="COR_FIR_PHI_M022_fl2"/>
    <item val="FIR_PHI_M028_fl2"/>
    <item val="COR_FIR_PHI_M028_fl2"/>
    <item val="FIR_PRA_M011_fl2"/>
    <item val="COR_FIR_PRA_M011_fl2"/>
    <item val="FIR_PRA_M012_fl2"/>
    <item val="COR_FIR_PRA_M012_fl2"/>
    <item val="FIR_PRA_M013_fl2"/>
    <item val="COR_FIR_PRA_M013_fl2"/>
    <item val="FIR_SOC_M001_fl2"/>
    <item val="COR_FIR_SOC_M001_fl2"/>
    <item val="FIR_SOC_M006_fl2"/>
    <item val="COR_FIR_SOC_M006_fl2"/>
    <item val="FIR_SOC_M011_fl2"/>
    <item val="COR_FIR_SOC_M011_fl2"/>
  </itemLst>
</formControlPr>
</file>

<file path=xl/ctrlProps/ctrlProp26.xml><?xml version="1.0" encoding="utf-8"?>
<formControlPr xmlns="http://schemas.microsoft.com/office/spreadsheetml/2009/9/main" objectType="Drop" dropLines="27" dropStyle="combo" dx="22" fmlaLink="$E$10" noThreeD="1" sel="23" val="0">
  <itemLst>
    <item val="EXP_PHI_M008"/>
    <item val="EXP_PHI_M022"/>
    <item val="EXP_PHI_M028"/>
    <item val="EXP_PRA_011"/>
    <item val="EXP_PRA_M012"/>
    <item val="EXP_PRA_M013"/>
    <item val="EXP_SOC_M001"/>
    <item val="EXP_SOC_M006"/>
    <item val="EXP_SOC_M011"/>
    <item val="FIR_PHI_M008_fl2"/>
    <item val="COR_FIR_PHI_M008_fl2"/>
    <item val="FIR_PHI_M022_fl2"/>
    <item val="COR_FIR_PHI_M022_fl2"/>
    <item val="FIR_PHI_M028_fl2"/>
    <item val="COR_FIR_PHI_M028_fl2"/>
    <item val="FIR_PRA_M011_fl2"/>
    <item val="COR_FIR_PRA_M011_fl2"/>
    <item val="FIR_PRA_M012_fl2"/>
    <item val="COR_FIR_PRA_M012_fl2"/>
    <item val="FIR_PRA_M013_fl2"/>
    <item val="COR_FIR_PRA_M013_fl2"/>
    <item val="FIR_SOC_M001_fl2"/>
    <item val="COR_FIR_SOC_M001_fl2"/>
    <item val="FIR_SOC_M006_fl2"/>
    <item val="COR_FIR_SOC_M006_fl2"/>
    <item val="FIR_SOC_M011_fl2"/>
    <item val="COR_FIR_SOC_M011_fl2"/>
  </itemLst>
</formControlPr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Scroll" dx="16" fmlaLink="C7" horiz="1" max="140" noThreeD="1" page="0" val="47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Drop" dropLines="9" dropStyle="combo" dx="16" fmlaLink="H8" noThreeD="1" sel="3" val="0">
  <itemLst>
    <item val="PHI - M008"/>
    <item val="PHI - M022"/>
    <item val="PHI - M028"/>
    <item val="PRA - M011"/>
    <item val="PRA - M012"/>
    <item val="PRA - M012"/>
    <item val="SOC - M001"/>
    <item val="SOC - M001"/>
    <item val="SOC - M011"/>
  </itemLst>
</formControlPr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</xdr:row>
          <xdr:rowOff>0</xdr:rowOff>
        </xdr:from>
        <xdr:to>
          <xdr:col>3</xdr:col>
          <xdr:colOff>752475</xdr:colOff>
          <xdr:row>6</xdr:row>
          <xdr:rowOff>0</xdr:rowOff>
        </xdr:to>
        <xdr:sp macro="" textlink="">
          <xdr:nvSpPr>
            <xdr:cNvPr id="2049" name="slider_imag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4</xdr:row>
          <xdr:rowOff>152400</xdr:rowOff>
        </xdr:from>
        <xdr:to>
          <xdr:col>8</xdr:col>
          <xdr:colOff>990600</xdr:colOff>
          <xdr:row>6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Diagram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1476375</xdr:colOff>
          <xdr:row>11</xdr:row>
          <xdr:rowOff>95250</xdr:rowOff>
        </xdr:from>
        <xdr:to>
          <xdr:col>12</xdr:col>
          <xdr:colOff>3971925</xdr:colOff>
          <xdr:row>11</xdr:row>
          <xdr:rowOff>304800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Autogenerate above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742950</xdr:colOff>
          <xdr:row>6</xdr:row>
          <xdr:rowOff>19050</xdr:rowOff>
        </xdr:from>
        <xdr:to>
          <xdr:col>15</xdr:col>
          <xdr:colOff>752475</xdr:colOff>
          <xdr:row>11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Imageview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8</xdr:row>
          <xdr:rowOff>47625</xdr:rowOff>
        </xdr:from>
        <xdr:to>
          <xdr:col>6</xdr:col>
          <xdr:colOff>990600</xdr:colOff>
          <xdr:row>10</xdr:row>
          <xdr:rowOff>152400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diagram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1009650</xdr:colOff>
          <xdr:row>8</xdr:row>
          <xdr:rowOff>9525</xdr:rowOff>
        </xdr:to>
        <xdr:sp macro="" textlink="">
          <xdr:nvSpPr>
            <xdr:cNvPr id="2067" name="Drop Dow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3</xdr:row>
          <xdr:rowOff>9525</xdr:rowOff>
        </xdr:from>
        <xdr:to>
          <xdr:col>6</xdr:col>
          <xdr:colOff>752475</xdr:colOff>
          <xdr:row>6</xdr:row>
          <xdr:rowOff>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4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in ROI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14</xdr:row>
          <xdr:rowOff>9525</xdr:rowOff>
        </xdr:from>
        <xdr:to>
          <xdr:col>1</xdr:col>
          <xdr:colOff>1143000</xdr:colOff>
          <xdr:row>15</xdr:row>
          <xdr:rowOff>180975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4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 below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14</xdr:row>
          <xdr:rowOff>9525</xdr:rowOff>
        </xdr:from>
        <xdr:to>
          <xdr:col>5</xdr:col>
          <xdr:colOff>600075</xdr:colOff>
          <xdr:row>15</xdr:row>
          <xdr:rowOff>180975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4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Write ROI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6</xdr:row>
          <xdr:rowOff>171450</xdr:rowOff>
        </xdr:from>
        <xdr:to>
          <xdr:col>6</xdr:col>
          <xdr:colOff>752475</xdr:colOff>
          <xdr:row>9</xdr:row>
          <xdr:rowOff>171450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4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AT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Diagrams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7</xdr:row>
          <xdr:rowOff>133350</xdr:rowOff>
        </xdr:from>
        <xdr:to>
          <xdr:col>5</xdr:col>
          <xdr:colOff>2105025</xdr:colOff>
          <xdr:row>8</xdr:row>
          <xdr:rowOff>142875</xdr:rowOff>
        </xdr:to>
        <xdr:sp macro="" textlink="">
          <xdr:nvSpPr>
            <xdr:cNvPr id="24583" name="DIP_COR_folder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5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Folder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6</xdr:row>
          <xdr:rowOff>57150</xdr:rowOff>
        </xdr:from>
        <xdr:to>
          <xdr:col>5</xdr:col>
          <xdr:colOff>2095500</xdr:colOff>
          <xdr:row>7</xdr:row>
          <xdr:rowOff>66675</xdr:rowOff>
        </xdr:to>
        <xdr:sp macro="" textlink="">
          <xdr:nvSpPr>
            <xdr:cNvPr id="24584" name="DIP_COR_file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5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File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7</xdr:row>
          <xdr:rowOff>133350</xdr:rowOff>
        </xdr:from>
        <xdr:to>
          <xdr:col>3</xdr:col>
          <xdr:colOff>2066925</xdr:colOff>
          <xdr:row>8</xdr:row>
          <xdr:rowOff>142875</xdr:rowOff>
        </xdr:to>
        <xdr:sp macro="" textlink="">
          <xdr:nvSpPr>
            <xdr:cNvPr id="24585" name="DIP_FIR_folder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5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Folder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6</xdr:row>
          <xdr:rowOff>57150</xdr:rowOff>
        </xdr:from>
        <xdr:to>
          <xdr:col>3</xdr:col>
          <xdr:colOff>2057400</xdr:colOff>
          <xdr:row>7</xdr:row>
          <xdr:rowOff>66675</xdr:rowOff>
        </xdr:to>
        <xdr:sp macro="" textlink="">
          <xdr:nvSpPr>
            <xdr:cNvPr id="24586" name="DIP_FIR_file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5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File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6</xdr:row>
          <xdr:rowOff>66675</xdr:rowOff>
        </xdr:from>
        <xdr:to>
          <xdr:col>1</xdr:col>
          <xdr:colOff>2085975</xdr:colOff>
          <xdr:row>7</xdr:row>
          <xdr:rowOff>76200</xdr:rowOff>
        </xdr:to>
        <xdr:sp macro="" textlink="">
          <xdr:nvSpPr>
            <xdr:cNvPr id="24588" name="DIP_EXP_file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5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File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7</xdr:row>
          <xdr:rowOff>123825</xdr:rowOff>
        </xdr:from>
        <xdr:to>
          <xdr:col>7</xdr:col>
          <xdr:colOff>2095500</xdr:colOff>
          <xdr:row>8</xdr:row>
          <xdr:rowOff>133350</xdr:rowOff>
        </xdr:to>
        <xdr:sp macro="" textlink="">
          <xdr:nvSpPr>
            <xdr:cNvPr id="24589" name="DIP_QCF_folder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5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Folder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6</xdr:row>
          <xdr:rowOff>47625</xdr:rowOff>
        </xdr:from>
        <xdr:to>
          <xdr:col>7</xdr:col>
          <xdr:colOff>2085975</xdr:colOff>
          <xdr:row>7</xdr:row>
          <xdr:rowOff>57150</xdr:rowOff>
        </xdr:to>
        <xdr:sp macro="" textlink="">
          <xdr:nvSpPr>
            <xdr:cNvPr id="24590" name="DIP_QCF_file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5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File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7</xdr:row>
          <xdr:rowOff>133350</xdr:rowOff>
        </xdr:from>
        <xdr:to>
          <xdr:col>1</xdr:col>
          <xdr:colOff>2095500</xdr:colOff>
          <xdr:row>8</xdr:row>
          <xdr:rowOff>142875</xdr:rowOff>
        </xdr:to>
        <xdr:sp macro="" textlink="">
          <xdr:nvSpPr>
            <xdr:cNvPr id="24591" name="DIP_EXP_folder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5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Folder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0</xdr:row>
          <xdr:rowOff>85725</xdr:rowOff>
        </xdr:from>
        <xdr:to>
          <xdr:col>12</xdr:col>
          <xdr:colOff>104775</xdr:colOff>
          <xdr:row>2</xdr:row>
          <xdr:rowOff>114300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5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Manual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76200</xdr:rowOff>
        </xdr:from>
        <xdr:to>
          <xdr:col>4</xdr:col>
          <xdr:colOff>666750</xdr:colOff>
          <xdr:row>1</xdr:row>
          <xdr:rowOff>114300</xdr:rowOff>
        </xdr:to>
        <xdr:sp macro="" textlink="">
          <xdr:nvSpPr>
            <xdr:cNvPr id="29371" name="Button 699" hidden="1">
              <a:extLst>
                <a:ext uri="{63B3BB69-23CF-44E3-9099-C40C66FF867C}">
                  <a14:compatExt spid="_x0000_s29371"/>
                </a:ext>
                <a:ext uri="{FF2B5EF4-FFF2-40B4-BE49-F238E27FC236}">
                  <a16:creationId xmlns:a16="http://schemas.microsoft.com/office/drawing/2014/main" id="{00000000-0008-0000-0600-0000BB7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controls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0</xdr:row>
          <xdr:rowOff>85725</xdr:rowOff>
        </xdr:from>
        <xdr:to>
          <xdr:col>22</xdr:col>
          <xdr:colOff>542925</xdr:colOff>
          <xdr:row>1</xdr:row>
          <xdr:rowOff>123825</xdr:rowOff>
        </xdr:to>
        <xdr:sp macro="" textlink="">
          <xdr:nvSpPr>
            <xdr:cNvPr id="29384" name="Button 712" hidden="1">
              <a:extLst>
                <a:ext uri="{63B3BB69-23CF-44E3-9099-C40C66FF867C}">
                  <a14:compatExt spid="_x0000_s29384"/>
                </a:ext>
                <a:ext uri="{FF2B5EF4-FFF2-40B4-BE49-F238E27FC236}">
                  <a16:creationId xmlns:a16="http://schemas.microsoft.com/office/drawing/2014/main" id="{00000000-0008-0000-0600-0000C87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7</xdr:row>
          <xdr:rowOff>0</xdr:rowOff>
        </xdr:from>
        <xdr:to>
          <xdr:col>13</xdr:col>
          <xdr:colOff>628650</xdr:colOff>
          <xdr:row>7</xdr:row>
          <xdr:rowOff>180975</xdr:rowOff>
        </xdr:to>
        <xdr:sp macro="" textlink="">
          <xdr:nvSpPr>
            <xdr:cNvPr id="131881" name="button_addline" hidden="1">
              <a:extLst>
                <a:ext uri="{63B3BB69-23CF-44E3-9099-C40C66FF867C}">
                  <a14:compatExt spid="_x0000_s131881"/>
                </a:ext>
                <a:ext uri="{FF2B5EF4-FFF2-40B4-BE49-F238E27FC236}">
                  <a16:creationId xmlns:a16="http://schemas.microsoft.com/office/drawing/2014/main" id="{00000000-0008-0000-0600-00002903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8</xdr:row>
          <xdr:rowOff>9525</xdr:rowOff>
        </xdr:from>
        <xdr:to>
          <xdr:col>13</xdr:col>
          <xdr:colOff>504825</xdr:colOff>
          <xdr:row>8</xdr:row>
          <xdr:rowOff>161925</xdr:rowOff>
        </xdr:to>
        <xdr:sp macro="" textlink="">
          <xdr:nvSpPr>
            <xdr:cNvPr id="131883" name="button_deleteline 1" hidden="1">
              <a:extLst>
                <a:ext uri="{63B3BB69-23CF-44E3-9099-C40C66FF867C}">
                  <a14:compatExt spid="_x0000_s131883"/>
                </a:ext>
                <a:ext uri="{FF2B5EF4-FFF2-40B4-BE49-F238E27FC236}">
                  <a16:creationId xmlns:a16="http://schemas.microsoft.com/office/drawing/2014/main" id="{00000000-0008-0000-0600-00002B03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9</xdr:row>
          <xdr:rowOff>9525</xdr:rowOff>
        </xdr:from>
        <xdr:to>
          <xdr:col>13</xdr:col>
          <xdr:colOff>504825</xdr:colOff>
          <xdr:row>9</xdr:row>
          <xdr:rowOff>161925</xdr:rowOff>
        </xdr:to>
        <xdr:sp macro="" textlink="">
          <xdr:nvSpPr>
            <xdr:cNvPr id="131885" name="button_deleteline 2" hidden="1">
              <a:extLst>
                <a:ext uri="{63B3BB69-23CF-44E3-9099-C40C66FF867C}">
                  <a14:compatExt spid="_x0000_s131885"/>
                </a:ext>
                <a:ext uri="{FF2B5EF4-FFF2-40B4-BE49-F238E27FC236}">
                  <a16:creationId xmlns:a16="http://schemas.microsoft.com/office/drawing/2014/main" id="{00000000-0008-0000-0600-00002D03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745981</xdr:colOff>
      <xdr:row>69</xdr:row>
      <xdr:rowOff>136865</xdr:rowOff>
    </xdr:from>
    <xdr:to>
      <xdr:col>15</xdr:col>
      <xdr:colOff>687481</xdr:colOff>
      <xdr:row>98</xdr:row>
      <xdr:rowOff>12365</xdr:rowOff>
    </xdr:to>
    <xdr:graphicFrame macro="">
      <xdr:nvGraphicFramePr>
        <xdr:cNvPr id="3" name="PHI - M02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214312</xdr:colOff>
      <xdr:row>71</xdr:row>
      <xdr:rowOff>61912</xdr:rowOff>
    </xdr:from>
    <xdr:to>
      <xdr:col>31</xdr:col>
      <xdr:colOff>346312</xdr:colOff>
      <xdr:row>99</xdr:row>
      <xdr:rowOff>127912</xdr:rowOff>
    </xdr:to>
    <xdr:graphicFrame macro="">
      <xdr:nvGraphicFramePr>
        <xdr:cNvPr id="16" name="PRA - M012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733425</xdr:colOff>
      <xdr:row>10</xdr:row>
      <xdr:rowOff>142874</xdr:rowOff>
    </xdr:from>
    <xdr:to>
      <xdr:col>46</xdr:col>
      <xdr:colOff>103425</xdr:colOff>
      <xdr:row>39</xdr:row>
      <xdr:rowOff>18374</xdr:rowOff>
    </xdr:to>
    <xdr:graphicFrame macro="">
      <xdr:nvGraphicFramePr>
        <xdr:cNvPr id="17" name="SOC - M001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738187</xdr:colOff>
      <xdr:row>40</xdr:row>
      <xdr:rowOff>152400</xdr:rowOff>
    </xdr:from>
    <xdr:to>
      <xdr:col>46</xdr:col>
      <xdr:colOff>108187</xdr:colOff>
      <xdr:row>69</xdr:row>
      <xdr:rowOff>27900</xdr:rowOff>
    </xdr:to>
    <xdr:graphicFrame macro="">
      <xdr:nvGraphicFramePr>
        <xdr:cNvPr id="18" name="SOC - M00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104775</xdr:colOff>
      <xdr:row>71</xdr:row>
      <xdr:rowOff>71437</xdr:rowOff>
    </xdr:from>
    <xdr:to>
      <xdr:col>46</xdr:col>
      <xdr:colOff>236775</xdr:colOff>
      <xdr:row>99</xdr:row>
      <xdr:rowOff>137437</xdr:rowOff>
    </xdr:to>
    <xdr:graphicFrame macro="">
      <xdr:nvGraphicFramePr>
        <xdr:cNvPr id="19" name="SOC - M01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19050</xdr:rowOff>
        </xdr:from>
        <xdr:to>
          <xdr:col>5</xdr:col>
          <xdr:colOff>752475</xdr:colOff>
          <xdr:row>8</xdr:row>
          <xdr:rowOff>171450</xdr:rowOff>
        </xdr:to>
        <xdr:sp macro="" textlink="">
          <xdr:nvSpPr>
            <xdr:cNvPr id="131920" name="dropdown_line_ 1" hidden="1">
              <a:extLst>
                <a:ext uri="{63B3BB69-23CF-44E3-9099-C40C66FF867C}">
                  <a14:compatExt spid="_x0000_s131920"/>
                </a:ext>
                <a:ext uri="{FF2B5EF4-FFF2-40B4-BE49-F238E27FC236}">
                  <a16:creationId xmlns:a16="http://schemas.microsoft.com/office/drawing/2014/main" id="{00000000-0008-0000-0600-00005003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19050</xdr:rowOff>
        </xdr:from>
        <xdr:to>
          <xdr:col>5</xdr:col>
          <xdr:colOff>752475</xdr:colOff>
          <xdr:row>9</xdr:row>
          <xdr:rowOff>171450</xdr:rowOff>
        </xdr:to>
        <xdr:sp macro="" textlink="">
          <xdr:nvSpPr>
            <xdr:cNvPr id="131921" name="dropdown_line_ 2" hidden="1">
              <a:extLst>
                <a:ext uri="{63B3BB69-23CF-44E3-9099-C40C66FF867C}">
                  <a14:compatExt spid="_x0000_s131921"/>
                </a:ext>
                <a:ext uri="{FF2B5EF4-FFF2-40B4-BE49-F238E27FC236}">
                  <a16:creationId xmlns:a16="http://schemas.microsoft.com/office/drawing/2014/main" id="{00000000-0008-0000-0600-00005103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752475</xdr:colOff>
          <xdr:row>3</xdr:row>
          <xdr:rowOff>0</xdr:rowOff>
        </xdr:from>
        <xdr:to>
          <xdr:col>22</xdr:col>
          <xdr:colOff>752475</xdr:colOff>
          <xdr:row>5</xdr:row>
          <xdr:rowOff>180975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7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A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</xdr:row>
          <xdr:rowOff>0</xdr:rowOff>
        </xdr:from>
        <xdr:to>
          <xdr:col>3</xdr:col>
          <xdr:colOff>752475</xdr:colOff>
          <xdr:row>6</xdr:row>
          <xdr:rowOff>0</xdr:rowOff>
        </xdr:to>
        <xdr:sp macro="" textlink="">
          <xdr:nvSpPr>
            <xdr:cNvPr id="109569" name="slider_images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9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4</xdr:row>
          <xdr:rowOff>152400</xdr:rowOff>
        </xdr:from>
        <xdr:to>
          <xdr:col>8</xdr:col>
          <xdr:colOff>990600</xdr:colOff>
          <xdr:row>6</xdr:row>
          <xdr:rowOff>76200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09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Diagram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11</xdr:row>
          <xdr:rowOff>95250</xdr:rowOff>
        </xdr:from>
        <xdr:to>
          <xdr:col>13</xdr:col>
          <xdr:colOff>0</xdr:colOff>
          <xdr:row>11</xdr:row>
          <xdr:rowOff>304800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09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Autogenerate above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742950</xdr:colOff>
          <xdr:row>6</xdr:row>
          <xdr:rowOff>19050</xdr:rowOff>
        </xdr:from>
        <xdr:to>
          <xdr:col>15</xdr:col>
          <xdr:colOff>752475</xdr:colOff>
          <xdr:row>11</xdr:row>
          <xdr:rowOff>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09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Imageview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8</xdr:row>
          <xdr:rowOff>47625</xdr:rowOff>
        </xdr:from>
        <xdr:to>
          <xdr:col>6</xdr:col>
          <xdr:colOff>990600</xdr:colOff>
          <xdr:row>10</xdr:row>
          <xdr:rowOff>152400</xdr:rowOff>
        </xdr:to>
        <xdr:sp macro="" textlink="">
          <xdr:nvSpPr>
            <xdr:cNvPr id="109573" name="Button 5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09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diagram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8</xdr:col>
          <xdr:colOff>1009650</xdr:colOff>
          <xdr:row>8</xdr:row>
          <xdr:rowOff>9525</xdr:rowOff>
        </xdr:to>
        <xdr:sp macro="" textlink="">
          <xdr:nvSpPr>
            <xdr:cNvPr id="109574" name="MVT_dropdown_diagrams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00000000-0008-0000-09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390525</xdr:colOff>
          <xdr:row>0</xdr:row>
          <xdr:rowOff>57150</xdr:rowOff>
        </xdr:from>
        <xdr:to>
          <xdr:col>16</xdr:col>
          <xdr:colOff>581025</xdr:colOff>
          <xdr:row>0</xdr:row>
          <xdr:rowOff>333375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Manual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3</xdr:row>
          <xdr:rowOff>9525</xdr:rowOff>
        </xdr:from>
        <xdr:to>
          <xdr:col>6</xdr:col>
          <xdr:colOff>742950</xdr:colOff>
          <xdr:row>5</xdr:row>
          <xdr:rowOff>9525</xdr:rowOff>
        </xdr:to>
        <xdr:sp macro="" textlink="">
          <xdr:nvSpPr>
            <xdr:cNvPr id="135169" name="DIP_SDM_file" hidden="1">
              <a:extLst>
                <a:ext uri="{63B3BB69-23CF-44E3-9099-C40C66FF867C}">
                  <a14:compatExt spid="_x0000_s135169"/>
                </a:ext>
                <a:ext uri="{FF2B5EF4-FFF2-40B4-BE49-F238E27FC236}">
                  <a16:creationId xmlns:a16="http://schemas.microsoft.com/office/drawing/2014/main" id="{00000000-0008-0000-0B00-00000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Slowdata file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5</xdr:row>
          <xdr:rowOff>19050</xdr:rowOff>
        </xdr:from>
        <xdr:to>
          <xdr:col>6</xdr:col>
          <xdr:colOff>742950</xdr:colOff>
          <xdr:row>6</xdr:row>
          <xdr:rowOff>180975</xdr:rowOff>
        </xdr:to>
        <xdr:sp macro="" textlink="">
          <xdr:nvSpPr>
            <xdr:cNvPr id="135170" name="DIP_SDM_folder" hidden="1">
              <a:extLst>
                <a:ext uri="{63B3BB69-23CF-44E3-9099-C40C66FF867C}">
                  <a14:compatExt spid="_x0000_s135170"/>
                </a:ext>
                <a:ext uri="{FF2B5EF4-FFF2-40B4-BE49-F238E27FC236}">
                  <a16:creationId xmlns:a16="http://schemas.microsoft.com/office/drawing/2014/main" id="{00000000-0008-0000-0B00-000002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Slowdata folder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7</xdr:row>
          <xdr:rowOff>9525</xdr:rowOff>
        </xdr:from>
        <xdr:to>
          <xdr:col>6</xdr:col>
          <xdr:colOff>742950</xdr:colOff>
          <xdr:row>8</xdr:row>
          <xdr:rowOff>171450</xdr:rowOff>
        </xdr:to>
        <xdr:sp macro="" textlink="">
          <xdr:nvSpPr>
            <xdr:cNvPr id="135171" name="DIP_SDM_folder_multiselect" hidden="1">
              <a:extLst>
                <a:ext uri="{63B3BB69-23CF-44E3-9099-C40C66FF867C}">
                  <a14:compatExt spid="_x0000_s135171"/>
                </a:ext>
                <a:ext uri="{FF2B5EF4-FFF2-40B4-BE49-F238E27FC236}">
                  <a16:creationId xmlns:a16="http://schemas.microsoft.com/office/drawing/2014/main" id="{00000000-0008-0000-0B00-000003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Slowdata multi folder read in</a:t>
              </a: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omparison_old_ign_del_no_limiter\ToDo\Vorlage_ja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Control"/>
      <sheetName val="Emissions"/>
      <sheetName val="Diagrams"/>
      <sheetName val="Diagrams_Layout"/>
      <sheetName val="D_Overview"/>
      <sheetName val="Img_Setup"/>
      <sheetName val="Img_View"/>
      <sheetName val="Img_View_Master"/>
      <sheetName val="Img_Hid"/>
      <sheetName val="A_2766"/>
      <sheetName val="A_2806"/>
      <sheetName val="S_2766"/>
      <sheetName val="S_2806"/>
      <sheetName val="S_2766_cox"/>
      <sheetName val="S_2806_cox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>
        <row r="3">
          <cell r="D3">
            <v>2806</v>
          </cell>
        </row>
      </sheetData>
      <sheetData sheetId="7" refreshError="1"/>
      <sheetData sheetId="8">
        <row r="2">
          <cell r="M2">
            <v>0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10" Type="http://schemas.openxmlformats.org/officeDocument/2006/relationships/ctrlProp" Target="../ctrlProps/ctrlProp26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>
    <tabColor rgb="FFFFFFFF"/>
  </sheetPr>
  <dimension ref="A1:V15"/>
  <sheetViews>
    <sheetView zoomScale="85" zoomScaleNormal="85" workbookViewId="0">
      <pane ySplit="15" topLeftCell="A16" activePane="bottomLeft" state="frozen"/>
      <selection activeCell="H49" sqref="H49"/>
      <selection pane="bottomLeft" sqref="A1:XFD2"/>
    </sheetView>
  </sheetViews>
  <sheetFormatPr baseColWidth="10" defaultRowHeight="15" x14ac:dyDescent="0.25"/>
  <cols>
    <col min="1" max="1" width="10.28515625" customWidth="1"/>
    <col min="2" max="2" width="24" customWidth="1"/>
    <col min="3" max="3" width="19.85546875" customWidth="1"/>
    <col min="4" max="4" width="12.28515625" customWidth="1"/>
    <col min="7" max="7" width="20" customWidth="1"/>
    <col min="8" max="8" width="19.7109375" customWidth="1"/>
    <col min="9" max="9" width="18.42578125" customWidth="1"/>
    <col min="12" max="12" width="21.7109375" customWidth="1"/>
    <col min="13" max="13" width="58" customWidth="1"/>
  </cols>
  <sheetData>
    <row r="1" spans="1:22" s="88" customFormat="1" x14ac:dyDescent="0.25">
      <c r="A1" s="85" t="s">
        <v>2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7"/>
    </row>
    <row r="2" spans="1:22" s="88" customFormat="1" x14ac:dyDescent="0.25">
      <c r="A2" s="89"/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1"/>
    </row>
    <row r="3" spans="1:22" thickBot="1" x14ac:dyDescent="0.35"/>
    <row r="4" spans="1:22" ht="18.600000000000001" thickBot="1" x14ac:dyDescent="0.4">
      <c r="B4" s="92" t="s">
        <v>3</v>
      </c>
      <c r="C4" s="93"/>
      <c r="D4" s="94"/>
      <c r="G4" s="92" t="s">
        <v>4</v>
      </c>
      <c r="H4" s="93"/>
      <c r="I4" s="94"/>
      <c r="L4" s="95" t="s">
        <v>5</v>
      </c>
      <c r="M4" s="96"/>
      <c r="N4" s="96"/>
      <c r="O4" s="96"/>
      <c r="P4" s="96"/>
      <c r="Q4" s="97"/>
    </row>
    <row r="5" spans="1:22" ht="14.45" x14ac:dyDescent="0.3">
      <c r="B5" s="3"/>
      <c r="C5" s="4"/>
      <c r="D5" s="5"/>
      <c r="G5" s="3"/>
      <c r="H5" s="4"/>
      <c r="I5" s="5"/>
      <c r="L5" s="3"/>
      <c r="M5" s="4"/>
      <c r="N5" s="4"/>
      <c r="O5" s="4"/>
      <c r="P5" s="4"/>
      <c r="Q5" s="5"/>
    </row>
    <row r="6" spans="1:22" ht="18.75" customHeight="1" x14ac:dyDescent="0.3">
      <c r="B6" s="3"/>
      <c r="C6" s="4"/>
      <c r="D6" s="5"/>
      <c r="F6" s="6"/>
      <c r="G6" s="3"/>
      <c r="H6" s="4"/>
      <c r="I6" s="5"/>
      <c r="K6" s="6"/>
      <c r="L6" s="3"/>
      <c r="M6" s="4"/>
      <c r="N6" s="4"/>
      <c r="O6" s="4"/>
      <c r="P6" s="4"/>
      <c r="Q6" s="5"/>
    </row>
    <row r="7" spans="1:22" ht="14.45" x14ac:dyDescent="0.3">
      <c r="B7" s="3"/>
      <c r="C7" s="7">
        <v>12</v>
      </c>
      <c r="D7" s="5"/>
      <c r="F7" s="6"/>
      <c r="G7" s="8"/>
      <c r="H7" s="4"/>
      <c r="I7" s="5"/>
      <c r="K7" s="6"/>
      <c r="L7" s="3"/>
      <c r="M7" s="4"/>
      <c r="N7" s="4"/>
      <c r="O7" s="4"/>
      <c r="P7" s="4"/>
      <c r="Q7" s="5"/>
    </row>
    <row r="8" spans="1:22" ht="14.45" x14ac:dyDescent="0.3">
      <c r="B8" s="9" t="s">
        <v>6</v>
      </c>
      <c r="C8" s="10">
        <v>-20</v>
      </c>
      <c r="D8" s="5" t="s">
        <v>7</v>
      </c>
      <c r="F8" s="6"/>
      <c r="G8" s="3" t="s">
        <v>220</v>
      </c>
      <c r="H8" s="4"/>
      <c r="I8" s="5"/>
      <c r="K8" s="6"/>
      <c r="L8" s="3" t="s">
        <v>8</v>
      </c>
      <c r="M8" s="10" t="s">
        <v>219</v>
      </c>
      <c r="N8" s="4"/>
      <c r="O8" s="4"/>
      <c r="P8" s="4"/>
      <c r="Q8" s="5"/>
    </row>
    <row r="9" spans="1:22" ht="14.45" x14ac:dyDescent="0.3">
      <c r="B9" s="9" t="s">
        <v>9</v>
      </c>
      <c r="C9" s="10">
        <v>20</v>
      </c>
      <c r="D9" s="5" t="s">
        <v>7</v>
      </c>
      <c r="F9" s="6"/>
      <c r="G9" s="3"/>
      <c r="H9" s="4"/>
      <c r="I9" s="5"/>
      <c r="K9" s="6"/>
      <c r="L9" s="3" t="s">
        <v>10</v>
      </c>
      <c r="M9" s="10" t="s">
        <v>218</v>
      </c>
      <c r="N9" s="4"/>
      <c r="O9" s="4"/>
      <c r="P9" s="4"/>
      <c r="Q9" s="5"/>
    </row>
    <row r="10" spans="1:22" ht="14.45" x14ac:dyDescent="0.3">
      <c r="B10" s="9" t="s">
        <v>23</v>
      </c>
      <c r="C10" s="11">
        <v>1</v>
      </c>
      <c r="D10" s="5" t="s">
        <v>28</v>
      </c>
      <c r="F10" s="6"/>
      <c r="G10" s="3"/>
      <c r="H10" s="4"/>
      <c r="I10" s="5"/>
      <c r="K10" s="6"/>
      <c r="L10" s="3" t="s">
        <v>11</v>
      </c>
      <c r="M10" s="10">
        <v>720</v>
      </c>
      <c r="N10" s="4"/>
      <c r="O10" s="4"/>
      <c r="P10" s="4"/>
      <c r="Q10" s="5"/>
    </row>
    <row r="11" spans="1:22" thickBot="1" x14ac:dyDescent="0.35">
      <c r="B11" s="9" t="s">
        <v>12</v>
      </c>
      <c r="C11" s="10">
        <v>3</v>
      </c>
      <c r="D11" s="5" t="s">
        <v>7</v>
      </c>
      <c r="F11" s="6"/>
      <c r="G11" s="3"/>
      <c r="H11" s="4"/>
      <c r="I11" s="5"/>
      <c r="K11" s="6"/>
      <c r="L11" s="3" t="s">
        <v>13</v>
      </c>
      <c r="M11" s="10" t="s">
        <v>22</v>
      </c>
      <c r="N11" s="4"/>
      <c r="O11" s="4"/>
      <c r="P11" s="4"/>
      <c r="Q11" s="5"/>
    </row>
    <row r="12" spans="1:22" ht="27" customHeight="1" thickBot="1" x14ac:dyDescent="0.35">
      <c r="B12" s="12" t="s">
        <v>14</v>
      </c>
      <c r="C12" s="13">
        <f>(C7-ABS(C8))/C10</f>
        <v>-8</v>
      </c>
      <c r="D12" s="14">
        <f>(C7-ABS(C8))/C10</f>
        <v>-8</v>
      </c>
      <c r="E12" s="15"/>
      <c r="F12" s="6"/>
      <c r="G12" s="16"/>
      <c r="H12" s="17"/>
      <c r="I12" s="21">
        <v>1</v>
      </c>
      <c r="K12" s="6"/>
      <c r="L12" s="16"/>
      <c r="M12" s="17"/>
      <c r="N12" s="17"/>
      <c r="O12" s="17"/>
      <c r="P12" s="17"/>
      <c r="Q12" s="18"/>
    </row>
    <row r="13" spans="1:22" ht="15.75" customHeight="1" x14ac:dyDescent="0.3">
      <c r="C13" s="2">
        <f>C12</f>
        <v>-8</v>
      </c>
    </row>
    <row r="14" spans="1:22" s="88" customFormat="1" x14ac:dyDescent="0.25">
      <c r="A14" s="85" t="s">
        <v>15</v>
      </c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7"/>
    </row>
    <row r="15" spans="1:22" s="88" customFormat="1" x14ac:dyDescent="0.25">
      <c r="A15" s="89"/>
      <c r="B15" s="90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1"/>
    </row>
  </sheetData>
  <mergeCells count="5">
    <mergeCell ref="A1:XFD2"/>
    <mergeCell ref="B4:D4"/>
    <mergeCell ref="G4:I4"/>
    <mergeCell ref="A14:XFD15"/>
    <mergeCell ref="L4:Q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lider_images">
              <controlPr defaultSize="0" autoPict="0">
                <anchor moveWithCells="1">
                  <from>
                    <xdr:col>1</xdr:col>
                    <xdr:colOff>76200</xdr:colOff>
                    <xdr:row>5</xdr:row>
                    <xdr:rowOff>0</xdr:rowOff>
                  </from>
                  <to>
                    <xdr:col>3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Multiview_plot">
                <anchor moveWithCells="1" sizeWithCells="1">
                  <from>
                    <xdr:col>6</xdr:col>
                    <xdr:colOff>295275</xdr:colOff>
                    <xdr:row>4</xdr:row>
                    <xdr:rowOff>152400</xdr:rowOff>
                  </from>
                  <to>
                    <xdr:col>8</xdr:col>
                    <xdr:colOff>990600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Image_setpath">
                <anchor moveWithCells="1" sizeWithCells="1">
                  <from>
                    <xdr:col>11</xdr:col>
                    <xdr:colOff>1476375</xdr:colOff>
                    <xdr:row>11</xdr:row>
                    <xdr:rowOff>95250</xdr:rowOff>
                  </from>
                  <to>
                    <xdr:col>12</xdr:col>
                    <xdr:colOff>3971925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Image_Load">
                <anchor moveWithCells="1" sizeWithCells="1">
                  <from>
                    <xdr:col>13</xdr:col>
                    <xdr:colOff>742950</xdr:colOff>
                    <xdr:row>6</xdr:row>
                    <xdr:rowOff>19050</xdr:rowOff>
                  </from>
                  <to>
                    <xdr:col>15</xdr:col>
                    <xdr:colOff>752475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8" name="Button 18">
              <controlPr defaultSize="0" print="0" autoFill="0" autoPict="0" macro="[0]!Schaltfläche18_Klicken">
                <anchor moveWithCells="1" sizeWithCells="1">
                  <from>
                    <xdr:col>6</xdr:col>
                    <xdr:colOff>209550</xdr:colOff>
                    <xdr:row>8</xdr:row>
                    <xdr:rowOff>47625</xdr:rowOff>
                  </from>
                  <to>
                    <xdr:col>6</xdr:col>
                    <xdr:colOff>990600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9" name="Drop Down 19">
              <controlPr defaultSize="0" autoLine="0" autoPict="0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1009650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tabColor rgb="FFFFFFFF"/>
  </sheetPr>
  <dimension ref="A1:F3"/>
  <sheetViews>
    <sheetView workbookViewId="0">
      <selection activeCell="E30" sqref="E30"/>
    </sheetView>
  </sheetViews>
  <sheetFormatPr baseColWidth="10" defaultRowHeight="15" x14ac:dyDescent="0.25"/>
  <cols>
    <col min="1" max="1" width="8.28515625" bestFit="1" customWidth="1"/>
    <col min="2" max="2" width="8.28515625" customWidth="1"/>
    <col min="3" max="3" width="22.85546875" bestFit="1" customWidth="1"/>
    <col min="4" max="4" width="36.5703125" customWidth="1"/>
    <col min="5" max="5" width="19.85546875" customWidth="1"/>
  </cols>
  <sheetData>
    <row r="1" spans="1:6" ht="13.9" customHeight="1" x14ac:dyDescent="0.3">
      <c r="A1" s="1" t="s">
        <v>16</v>
      </c>
      <c r="B1" s="1" t="s">
        <v>21</v>
      </c>
      <c r="C1" s="1" t="s">
        <v>17</v>
      </c>
      <c r="D1" s="1" t="s">
        <v>18</v>
      </c>
      <c r="E1" s="1" t="s">
        <v>19</v>
      </c>
      <c r="F1" s="1" t="s">
        <v>20</v>
      </c>
    </row>
    <row r="3" spans="1:6" ht="14.45" x14ac:dyDescent="0.3">
      <c r="B3" s="22"/>
    </row>
  </sheetData>
  <dataConsolidate/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7">
    <tabColor rgb="FFFFFFFF"/>
  </sheetPr>
  <dimension ref="A1:J76"/>
  <sheetViews>
    <sheetView workbookViewId="0">
      <pane ySplit="10" topLeftCell="A20" activePane="bottomLeft" state="frozen"/>
      <selection pane="bottomLeft" activeCell="D30" sqref="D30"/>
    </sheetView>
  </sheetViews>
  <sheetFormatPr baseColWidth="10" defaultRowHeight="15" x14ac:dyDescent="0.25"/>
  <cols>
    <col min="1" max="1" width="42.28515625" customWidth="1"/>
    <col min="2" max="2" width="25.5703125" customWidth="1"/>
    <col min="3" max="3" width="24.42578125" customWidth="1"/>
    <col min="4" max="4" width="18.7109375" style="26" customWidth="1"/>
    <col min="5" max="5" width="7.7109375" style="26" customWidth="1"/>
    <col min="6" max="6" width="43" style="26" customWidth="1"/>
    <col min="7" max="7" width="64.140625" customWidth="1"/>
  </cols>
  <sheetData>
    <row r="1" spans="1:10" ht="25.9" x14ac:dyDescent="0.5">
      <c r="A1" s="23" t="s">
        <v>29</v>
      </c>
      <c r="B1" s="23"/>
      <c r="C1" s="23"/>
      <c r="D1" s="24"/>
      <c r="E1" s="24"/>
      <c r="F1" s="24"/>
      <c r="G1" s="25" t="s">
        <v>145</v>
      </c>
    </row>
    <row r="3" spans="1:10" ht="14.45" x14ac:dyDescent="0.3">
      <c r="A3" t="s">
        <v>30</v>
      </c>
    </row>
    <row r="4" spans="1:10" ht="14.45" x14ac:dyDescent="0.3">
      <c r="A4" t="s">
        <v>31</v>
      </c>
      <c r="B4" s="27"/>
    </row>
    <row r="5" spans="1:10" ht="14.45" x14ac:dyDescent="0.3">
      <c r="A5" t="s">
        <v>32</v>
      </c>
      <c r="B5" s="28"/>
    </row>
    <row r="6" spans="1:10" ht="14.45" x14ac:dyDescent="0.3">
      <c r="A6" t="s">
        <v>33</v>
      </c>
      <c r="B6" s="27"/>
    </row>
    <row r="7" spans="1:10" ht="14.45" x14ac:dyDescent="0.3">
      <c r="A7" t="s">
        <v>34</v>
      </c>
      <c r="B7" s="29"/>
    </row>
    <row r="8" spans="1:10" ht="14.45" x14ac:dyDescent="0.3">
      <c r="A8" t="s">
        <v>35</v>
      </c>
    </row>
    <row r="10" spans="1:10" ht="14.45" x14ac:dyDescent="0.3">
      <c r="A10" s="30" t="s">
        <v>36</v>
      </c>
      <c r="B10" s="30" t="s">
        <v>37</v>
      </c>
      <c r="C10" s="30" t="s">
        <v>38</v>
      </c>
      <c r="D10" s="24" t="s">
        <v>39</v>
      </c>
      <c r="E10" s="24" t="s">
        <v>1</v>
      </c>
      <c r="F10" s="24" t="s">
        <v>40</v>
      </c>
      <c r="G10" s="30" t="s">
        <v>41</v>
      </c>
    </row>
    <row r="13" spans="1:10" ht="14.45" x14ac:dyDescent="0.3">
      <c r="A13" s="31" t="s">
        <v>48</v>
      </c>
      <c r="B13" s="31"/>
      <c r="C13" s="31"/>
      <c r="D13" s="32"/>
      <c r="E13" s="32"/>
      <c r="F13" s="32"/>
      <c r="G13" s="31"/>
      <c r="J13" s="26"/>
    </row>
    <row r="14" spans="1:10" ht="14.45" x14ac:dyDescent="0.3">
      <c r="A14" t="s">
        <v>49</v>
      </c>
      <c r="B14" t="s">
        <v>50</v>
      </c>
      <c r="C14" t="s">
        <v>51</v>
      </c>
      <c r="D14" s="26">
        <v>530</v>
      </c>
      <c r="E14" s="26" t="s">
        <v>52</v>
      </c>
      <c r="F14" s="26" t="s">
        <v>53</v>
      </c>
    </row>
    <row r="15" spans="1:10" ht="14.45" x14ac:dyDescent="0.3">
      <c r="A15" t="s">
        <v>54</v>
      </c>
      <c r="B15" t="s">
        <v>50</v>
      </c>
      <c r="C15" t="s">
        <v>51</v>
      </c>
      <c r="D15" s="26">
        <v>500</v>
      </c>
      <c r="E15" s="26" t="s">
        <v>52</v>
      </c>
      <c r="F15" s="26" t="s">
        <v>53</v>
      </c>
    </row>
    <row r="16" spans="1:10" ht="14.45" x14ac:dyDescent="0.3">
      <c r="A16" t="s">
        <v>55</v>
      </c>
      <c r="B16" t="s">
        <v>50</v>
      </c>
      <c r="C16" t="s">
        <v>51</v>
      </c>
      <c r="D16" s="26">
        <v>470</v>
      </c>
      <c r="E16" s="26" t="s">
        <v>52</v>
      </c>
      <c r="F16" s="26" t="s">
        <v>53</v>
      </c>
    </row>
    <row r="18" spans="1:7" ht="14.45" x14ac:dyDescent="0.3">
      <c r="A18" s="31" t="s">
        <v>56</v>
      </c>
      <c r="B18" s="31"/>
      <c r="C18" s="31"/>
      <c r="D18" s="32"/>
      <c r="E18" s="32"/>
      <c r="F18" s="32"/>
      <c r="G18" s="31"/>
    </row>
    <row r="19" spans="1:7" ht="14.45" x14ac:dyDescent="0.3">
      <c r="A19" t="s">
        <v>57</v>
      </c>
      <c r="B19" s="27" t="s">
        <v>42</v>
      </c>
      <c r="C19" t="s">
        <v>43</v>
      </c>
      <c r="D19" s="26">
        <v>0.19</v>
      </c>
      <c r="E19" s="26" t="s">
        <v>47</v>
      </c>
      <c r="F19" s="26" t="s">
        <v>45</v>
      </c>
    </row>
    <row r="20" spans="1:7" ht="14.45" x14ac:dyDescent="0.3">
      <c r="A20" t="s">
        <v>58</v>
      </c>
      <c r="B20" s="27" t="s">
        <v>42</v>
      </c>
      <c r="C20" t="s">
        <v>43</v>
      </c>
      <c r="D20" s="26">
        <v>0.22</v>
      </c>
      <c r="E20" s="26" t="s">
        <v>47</v>
      </c>
      <c r="F20" s="26" t="s">
        <v>45</v>
      </c>
    </row>
    <row r="21" spans="1:7" ht="14.45" x14ac:dyDescent="0.3">
      <c r="A21" t="s">
        <v>59</v>
      </c>
      <c r="B21" s="27" t="s">
        <v>42</v>
      </c>
      <c r="C21" t="s">
        <v>43</v>
      </c>
      <c r="D21" s="26">
        <v>0.42499999999999999</v>
      </c>
      <c r="E21" s="26" t="s">
        <v>47</v>
      </c>
      <c r="F21" s="26" t="s">
        <v>45</v>
      </c>
    </row>
    <row r="22" spans="1:7" ht="14.45" x14ac:dyDescent="0.3">
      <c r="A22" t="s">
        <v>60</v>
      </c>
      <c r="B22" t="s">
        <v>61</v>
      </c>
      <c r="C22" t="s">
        <v>62</v>
      </c>
      <c r="D22" s="26">
        <v>1500</v>
      </c>
      <c r="E22" s="26" t="s">
        <v>63</v>
      </c>
      <c r="F22" s="26" t="s">
        <v>45</v>
      </c>
    </row>
    <row r="23" spans="1:7" ht="14.45" x14ac:dyDescent="0.3">
      <c r="A23" t="s">
        <v>64</v>
      </c>
      <c r="B23" t="s">
        <v>61</v>
      </c>
      <c r="C23" t="s">
        <v>65</v>
      </c>
      <c r="D23" s="26">
        <v>-200</v>
      </c>
      <c r="E23" s="26" t="s">
        <v>66</v>
      </c>
      <c r="F23" s="26" t="s">
        <v>45</v>
      </c>
      <c r="G23" s="26" t="s">
        <v>67</v>
      </c>
    </row>
    <row r="24" spans="1:7" ht="14.45" x14ac:dyDescent="0.3">
      <c r="A24" t="s">
        <v>68</v>
      </c>
      <c r="B24" t="s">
        <v>61</v>
      </c>
      <c r="C24" t="s">
        <v>69</v>
      </c>
      <c r="D24" s="26">
        <v>127</v>
      </c>
      <c r="E24" s="26" t="s">
        <v>66</v>
      </c>
      <c r="F24" s="26" t="s">
        <v>45</v>
      </c>
      <c r="G24" s="26" t="s">
        <v>67</v>
      </c>
    </row>
    <row r="26" spans="1:7" ht="14.45" x14ac:dyDescent="0.3">
      <c r="A26" s="31" t="s">
        <v>70</v>
      </c>
      <c r="B26" s="31"/>
      <c r="C26" s="31"/>
      <c r="D26" s="32"/>
      <c r="E26" s="32"/>
      <c r="F26" s="32"/>
      <c r="G26" s="31"/>
    </row>
    <row r="27" spans="1:7" ht="14.45" x14ac:dyDescent="0.3">
      <c r="A27" s="27" t="s">
        <v>71</v>
      </c>
      <c r="B27" t="s">
        <v>72</v>
      </c>
      <c r="C27" s="27" t="s">
        <v>71</v>
      </c>
      <c r="D27" s="34"/>
      <c r="E27" s="33" t="s">
        <v>73</v>
      </c>
      <c r="F27" s="26" t="s">
        <v>53</v>
      </c>
      <c r="G27" s="27" t="s">
        <v>74</v>
      </c>
    </row>
    <row r="28" spans="1:7" ht="14.45" x14ac:dyDescent="0.3">
      <c r="A28" s="27" t="s">
        <v>51</v>
      </c>
      <c r="B28" t="s">
        <v>72</v>
      </c>
      <c r="C28" s="27" t="s">
        <v>51</v>
      </c>
      <c r="D28" s="35"/>
      <c r="E28" s="33" t="s">
        <v>52</v>
      </c>
      <c r="F28" s="26" t="s">
        <v>53</v>
      </c>
      <c r="G28" s="27" t="s">
        <v>75</v>
      </c>
    </row>
    <row r="29" spans="1:7" x14ac:dyDescent="0.25">
      <c r="A29" t="s">
        <v>76</v>
      </c>
      <c r="B29" t="s">
        <v>72</v>
      </c>
      <c r="C29" t="s">
        <v>77</v>
      </c>
      <c r="D29" s="26">
        <v>107.6</v>
      </c>
      <c r="E29" s="26" t="s">
        <v>78</v>
      </c>
      <c r="F29" s="26" t="s">
        <v>79</v>
      </c>
      <c r="G29" s="26" t="s">
        <v>80</v>
      </c>
    </row>
    <row r="30" spans="1:7" ht="14.45" x14ac:dyDescent="0.3">
      <c r="A30" t="s">
        <v>81</v>
      </c>
      <c r="B30" t="s">
        <v>72</v>
      </c>
      <c r="C30" t="s">
        <v>82</v>
      </c>
      <c r="D30" s="26">
        <v>7.0000000000000001E-3</v>
      </c>
      <c r="E30" s="26" t="s">
        <v>47</v>
      </c>
      <c r="F30" s="26" t="s">
        <v>79</v>
      </c>
      <c r="G30" s="26" t="s">
        <v>80</v>
      </c>
    </row>
    <row r="31" spans="1:7" ht="14.45" x14ac:dyDescent="0.3">
      <c r="A31" t="s">
        <v>83</v>
      </c>
      <c r="B31" t="s">
        <v>72</v>
      </c>
      <c r="C31" t="s">
        <v>84</v>
      </c>
      <c r="D31" s="26">
        <v>0</v>
      </c>
      <c r="E31" s="26" t="s">
        <v>43</v>
      </c>
      <c r="F31" s="26" t="s">
        <v>45</v>
      </c>
      <c r="G31" s="26"/>
    </row>
    <row r="33" spans="1:7" ht="14.45" x14ac:dyDescent="0.3">
      <c r="A33" s="31" t="s">
        <v>85</v>
      </c>
      <c r="B33" s="31"/>
      <c r="C33" s="31"/>
      <c r="D33" s="32"/>
      <c r="E33" s="32"/>
      <c r="F33" s="32"/>
      <c r="G33" s="31"/>
    </row>
    <row r="34" spans="1:7" x14ac:dyDescent="0.25">
      <c r="A34" s="27" t="s">
        <v>86</v>
      </c>
      <c r="B34" t="s">
        <v>72</v>
      </c>
      <c r="C34" t="s">
        <v>87</v>
      </c>
      <c r="D34" s="36"/>
      <c r="E34" s="26" t="s">
        <v>43</v>
      </c>
      <c r="F34" s="26" t="s">
        <v>53</v>
      </c>
    </row>
    <row r="35" spans="1:7" x14ac:dyDescent="0.25">
      <c r="A35" s="27" t="s">
        <v>88</v>
      </c>
      <c r="B35" t="s">
        <v>72</v>
      </c>
      <c r="C35" t="s">
        <v>87</v>
      </c>
      <c r="D35" s="36"/>
      <c r="E35" s="26" t="s">
        <v>43</v>
      </c>
      <c r="F35" s="26" t="s">
        <v>53</v>
      </c>
    </row>
    <row r="36" spans="1:7" x14ac:dyDescent="0.25">
      <c r="A36" s="27" t="s">
        <v>89</v>
      </c>
      <c r="B36" t="s">
        <v>72</v>
      </c>
      <c r="C36" t="s">
        <v>87</v>
      </c>
      <c r="D36" s="36"/>
      <c r="E36" s="26" t="s">
        <v>43</v>
      </c>
      <c r="F36" s="26" t="s">
        <v>53</v>
      </c>
    </row>
    <row r="37" spans="1:7" x14ac:dyDescent="0.25">
      <c r="A37" s="27" t="s">
        <v>90</v>
      </c>
      <c r="B37" t="s">
        <v>72</v>
      </c>
      <c r="C37" t="s">
        <v>87</v>
      </c>
      <c r="D37" s="36"/>
      <c r="E37" s="26" t="s">
        <v>43</v>
      </c>
      <c r="F37" s="26" t="s">
        <v>53</v>
      </c>
    </row>
    <row r="38" spans="1:7" x14ac:dyDescent="0.25">
      <c r="A38" s="27" t="s">
        <v>91</v>
      </c>
      <c r="B38" t="s">
        <v>72</v>
      </c>
      <c r="C38" t="s">
        <v>87</v>
      </c>
      <c r="D38" s="36"/>
      <c r="E38" s="26" t="s">
        <v>43</v>
      </c>
      <c r="F38" s="26" t="s">
        <v>53</v>
      </c>
    </row>
    <row r="39" spans="1:7" x14ac:dyDescent="0.25">
      <c r="A39" s="27" t="s">
        <v>92</v>
      </c>
      <c r="B39" t="s">
        <v>72</v>
      </c>
      <c r="C39" t="s">
        <v>87</v>
      </c>
      <c r="D39" s="36"/>
      <c r="E39" s="26" t="s">
        <v>43</v>
      </c>
      <c r="F39" s="26" t="s">
        <v>53</v>
      </c>
    </row>
    <row r="40" spans="1:7" x14ac:dyDescent="0.25">
      <c r="D40" s="37"/>
    </row>
    <row r="41" spans="1:7" x14ac:dyDescent="0.25">
      <c r="A41" s="31" t="s">
        <v>93</v>
      </c>
      <c r="B41" s="31"/>
      <c r="C41" s="31"/>
      <c r="D41" s="32"/>
      <c r="E41" s="32"/>
      <c r="F41" s="32"/>
      <c r="G41" s="31"/>
    </row>
    <row r="42" spans="1:7" x14ac:dyDescent="0.25">
      <c r="A42" s="27" t="s">
        <v>94</v>
      </c>
      <c r="B42" t="s">
        <v>95</v>
      </c>
      <c r="C42" t="s">
        <v>96</v>
      </c>
      <c r="D42" s="38"/>
      <c r="E42" s="26" t="s">
        <v>66</v>
      </c>
      <c r="F42" s="26" t="s">
        <v>97</v>
      </c>
      <c r="G42" s="27"/>
    </row>
    <row r="43" spans="1:7" x14ac:dyDescent="0.25">
      <c r="A43" s="27" t="s">
        <v>98</v>
      </c>
      <c r="B43" t="s">
        <v>95</v>
      </c>
      <c r="C43" t="s">
        <v>99</v>
      </c>
      <c r="D43" s="38"/>
      <c r="E43" s="26" t="s">
        <v>66</v>
      </c>
      <c r="F43" s="26" t="s">
        <v>97</v>
      </c>
      <c r="G43" s="26"/>
    </row>
    <row r="44" spans="1:7" x14ac:dyDescent="0.25">
      <c r="A44" s="27" t="s">
        <v>100</v>
      </c>
      <c r="B44" t="s">
        <v>43</v>
      </c>
      <c r="C44" t="s">
        <v>43</v>
      </c>
      <c r="D44" s="38"/>
      <c r="E44" s="26" t="s">
        <v>66</v>
      </c>
      <c r="F44" s="26" t="s">
        <v>97</v>
      </c>
    </row>
    <row r="45" spans="1:7" x14ac:dyDescent="0.25">
      <c r="A45" s="27" t="s">
        <v>100</v>
      </c>
      <c r="B45" t="s">
        <v>43</v>
      </c>
      <c r="C45" t="s">
        <v>43</v>
      </c>
      <c r="D45" s="34"/>
      <c r="E45" s="26" t="s">
        <v>101</v>
      </c>
    </row>
    <row r="46" spans="1:7" x14ac:dyDescent="0.25">
      <c r="A46" s="27" t="s">
        <v>102</v>
      </c>
      <c r="B46" t="s">
        <v>43</v>
      </c>
      <c r="C46" t="s">
        <v>43</v>
      </c>
      <c r="D46" s="38"/>
      <c r="E46" s="26" t="s">
        <v>103</v>
      </c>
      <c r="F46" s="26" t="s">
        <v>45</v>
      </c>
    </row>
    <row r="47" spans="1:7" x14ac:dyDescent="0.25">
      <c r="A47" s="27" t="s">
        <v>104</v>
      </c>
      <c r="B47" t="s">
        <v>95</v>
      </c>
      <c r="C47" t="s">
        <v>105</v>
      </c>
      <c r="D47" s="39"/>
      <c r="E47" s="26" t="s">
        <v>103</v>
      </c>
      <c r="G47" t="s">
        <v>106</v>
      </c>
    </row>
    <row r="48" spans="1:7" x14ac:dyDescent="0.25">
      <c r="A48" t="s">
        <v>107</v>
      </c>
      <c r="B48" t="s">
        <v>95</v>
      </c>
      <c r="C48" t="s">
        <v>108</v>
      </c>
      <c r="D48" s="26">
        <v>315</v>
      </c>
      <c r="E48" s="26" t="s">
        <v>52</v>
      </c>
      <c r="F48" s="26" t="s">
        <v>79</v>
      </c>
      <c r="G48" s="26" t="s">
        <v>109</v>
      </c>
    </row>
    <row r="49" spans="1:7" x14ac:dyDescent="0.25">
      <c r="A49" s="27" t="s">
        <v>110</v>
      </c>
      <c r="B49" t="s">
        <v>95</v>
      </c>
      <c r="C49" t="s">
        <v>111</v>
      </c>
      <c r="D49" s="40" t="s">
        <v>43</v>
      </c>
      <c r="E49" s="26" t="s">
        <v>43</v>
      </c>
      <c r="F49" s="26" t="s">
        <v>97</v>
      </c>
      <c r="G49" s="26" t="s">
        <v>112</v>
      </c>
    </row>
    <row r="50" spans="1:7" x14ac:dyDescent="0.25">
      <c r="A50" t="s">
        <v>113</v>
      </c>
      <c r="B50" t="s">
        <v>95</v>
      </c>
      <c r="C50" t="s">
        <v>114</v>
      </c>
      <c r="D50" s="41">
        <v>8.0000000000000004E-4</v>
      </c>
      <c r="E50" s="26" t="s">
        <v>47</v>
      </c>
      <c r="F50" s="26" t="s">
        <v>115</v>
      </c>
    </row>
    <row r="51" spans="1:7" x14ac:dyDescent="0.25">
      <c r="A51" t="s">
        <v>116</v>
      </c>
      <c r="B51" t="s">
        <v>95</v>
      </c>
      <c r="C51" t="s">
        <v>117</v>
      </c>
      <c r="D51" s="42">
        <v>2.2000000000000001E-3</v>
      </c>
      <c r="E51" s="26" t="s">
        <v>47</v>
      </c>
      <c r="F51" s="26" t="s">
        <v>118</v>
      </c>
    </row>
    <row r="52" spans="1:7" x14ac:dyDescent="0.25">
      <c r="A52" t="s">
        <v>119</v>
      </c>
      <c r="B52" t="s">
        <v>95</v>
      </c>
      <c r="C52" t="s">
        <v>120</v>
      </c>
      <c r="D52" s="26">
        <v>140</v>
      </c>
      <c r="E52" s="26" t="s">
        <v>44</v>
      </c>
      <c r="F52" s="26" t="s">
        <v>118</v>
      </c>
      <c r="G52" s="26" t="s">
        <v>46</v>
      </c>
    </row>
    <row r="53" spans="1:7" x14ac:dyDescent="0.25">
      <c r="A53" t="s">
        <v>121</v>
      </c>
      <c r="B53" t="s">
        <v>95</v>
      </c>
      <c r="C53" t="s">
        <v>122</v>
      </c>
      <c r="D53" s="41">
        <v>1.3899999999999999E-4</v>
      </c>
      <c r="E53" s="26" t="s">
        <v>47</v>
      </c>
      <c r="F53" s="26" t="s">
        <v>123</v>
      </c>
      <c r="G53" s="26" t="s">
        <v>46</v>
      </c>
    </row>
    <row r="54" spans="1:7" x14ac:dyDescent="0.25">
      <c r="A54" t="s">
        <v>124</v>
      </c>
      <c r="B54" t="s">
        <v>95</v>
      </c>
      <c r="C54" t="s">
        <v>125</v>
      </c>
      <c r="D54" s="41">
        <v>1.3899999999999999E-4</v>
      </c>
      <c r="E54" s="26" t="s">
        <v>47</v>
      </c>
      <c r="F54" s="26" t="s">
        <v>126</v>
      </c>
      <c r="G54" s="26" t="s">
        <v>46</v>
      </c>
    </row>
    <row r="55" spans="1:7" x14ac:dyDescent="0.25">
      <c r="A55" s="27" t="s">
        <v>127</v>
      </c>
      <c r="B55" s="27" t="s">
        <v>95</v>
      </c>
      <c r="C55" s="27" t="s">
        <v>128</v>
      </c>
      <c r="D55" s="33">
        <v>8</v>
      </c>
      <c r="E55" s="33" t="s">
        <v>44</v>
      </c>
      <c r="F55" s="33" t="s">
        <v>129</v>
      </c>
      <c r="G55" s="27"/>
    </row>
    <row r="56" spans="1:7" x14ac:dyDescent="0.25">
      <c r="A56" s="22" t="s">
        <v>130</v>
      </c>
      <c r="B56" s="22" t="s">
        <v>95</v>
      </c>
      <c r="C56" s="22" t="s">
        <v>131</v>
      </c>
      <c r="D56" s="43">
        <v>10</v>
      </c>
      <c r="E56" s="43" t="s">
        <v>43</v>
      </c>
      <c r="F56" s="43" t="s">
        <v>132</v>
      </c>
      <c r="G56" s="43" t="s">
        <v>133</v>
      </c>
    </row>
    <row r="58" spans="1:7" x14ac:dyDescent="0.25">
      <c r="D58"/>
      <c r="E58"/>
      <c r="F58"/>
    </row>
    <row r="59" spans="1:7" x14ac:dyDescent="0.25">
      <c r="D59"/>
      <c r="E59"/>
      <c r="F59"/>
    </row>
    <row r="60" spans="1:7" x14ac:dyDescent="0.25">
      <c r="D60"/>
      <c r="E60"/>
      <c r="F60"/>
    </row>
    <row r="61" spans="1:7" x14ac:dyDescent="0.25">
      <c r="D61"/>
      <c r="E61"/>
      <c r="F61"/>
    </row>
    <row r="62" spans="1:7" x14ac:dyDescent="0.25">
      <c r="D62"/>
      <c r="E62"/>
      <c r="F62"/>
    </row>
    <row r="63" spans="1:7" x14ac:dyDescent="0.25">
      <c r="D63"/>
      <c r="E63"/>
      <c r="F63"/>
    </row>
    <row r="64" spans="1:7" x14ac:dyDescent="0.25">
      <c r="D64"/>
      <c r="E64"/>
      <c r="F64"/>
    </row>
    <row r="65" spans="4:6" x14ac:dyDescent="0.25">
      <c r="D65"/>
      <c r="E65"/>
      <c r="F65"/>
    </row>
    <row r="66" spans="4:6" x14ac:dyDescent="0.25">
      <c r="D66"/>
      <c r="E66"/>
      <c r="F66"/>
    </row>
    <row r="67" spans="4:6" x14ac:dyDescent="0.25">
      <c r="D67"/>
      <c r="E67"/>
      <c r="F67"/>
    </row>
    <row r="68" spans="4:6" x14ac:dyDescent="0.25">
      <c r="D68"/>
      <c r="E68"/>
      <c r="F68"/>
    </row>
    <row r="69" spans="4:6" x14ac:dyDescent="0.25">
      <c r="D69"/>
      <c r="E69"/>
      <c r="F69"/>
    </row>
    <row r="70" spans="4:6" x14ac:dyDescent="0.25">
      <c r="D70"/>
      <c r="E70"/>
      <c r="F70"/>
    </row>
    <row r="71" spans="4:6" x14ac:dyDescent="0.25">
      <c r="D71"/>
      <c r="E71"/>
      <c r="F71"/>
    </row>
    <row r="72" spans="4:6" x14ac:dyDescent="0.25">
      <c r="D72"/>
      <c r="E72"/>
      <c r="F72"/>
    </row>
    <row r="73" spans="4:6" x14ac:dyDescent="0.25">
      <c r="D73"/>
      <c r="E73"/>
      <c r="F73"/>
    </row>
    <row r="74" spans="4:6" x14ac:dyDescent="0.25">
      <c r="D74"/>
      <c r="E74"/>
      <c r="F74"/>
    </row>
    <row r="75" spans="4:6" x14ac:dyDescent="0.25">
      <c r="D75"/>
      <c r="E75"/>
      <c r="F75"/>
    </row>
    <row r="76" spans="4:6" x14ac:dyDescent="0.25">
      <c r="D76"/>
      <c r="E76"/>
      <c r="F76"/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9">
    <tabColor rgb="FFFFFFFF"/>
  </sheetPr>
  <dimension ref="A1:W47"/>
  <sheetViews>
    <sheetView workbookViewId="0">
      <selection activeCell="B21" sqref="B21"/>
    </sheetView>
  </sheetViews>
  <sheetFormatPr baseColWidth="10" defaultRowHeight="15" x14ac:dyDescent="0.25"/>
  <cols>
    <col min="2" max="2" width="11.85546875" bestFit="1" customWidth="1"/>
    <col min="5" max="5" width="12" bestFit="1" customWidth="1"/>
    <col min="6" max="6" width="13.28515625" bestFit="1" customWidth="1"/>
  </cols>
  <sheetData>
    <row r="1" spans="1:23" ht="21" x14ac:dyDescent="0.4">
      <c r="A1" s="102" t="s">
        <v>207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</row>
    <row r="3" spans="1:23" ht="14.45" x14ac:dyDescent="0.3">
      <c r="E3" s="58"/>
      <c r="F3" s="58"/>
      <c r="G3" s="58"/>
      <c r="H3" s="58"/>
      <c r="I3" s="103" t="s">
        <v>201</v>
      </c>
      <c r="J3" s="98"/>
      <c r="K3" s="98"/>
      <c r="L3" s="98"/>
      <c r="M3" s="98"/>
      <c r="N3" s="99"/>
      <c r="O3" s="103" t="s">
        <v>202</v>
      </c>
      <c r="P3" s="98"/>
      <c r="Q3" s="98"/>
      <c r="R3" s="98"/>
      <c r="S3" s="98"/>
      <c r="T3" s="98"/>
      <c r="U3" s="99"/>
    </row>
    <row r="4" spans="1:23" ht="14.45" x14ac:dyDescent="0.3">
      <c r="B4" s="59" t="s">
        <v>198</v>
      </c>
      <c r="C4" s="60" t="s">
        <v>177</v>
      </c>
      <c r="D4" s="60" t="s">
        <v>178</v>
      </c>
      <c r="E4" s="103" t="s">
        <v>180</v>
      </c>
      <c r="F4" s="98"/>
      <c r="G4" s="98"/>
      <c r="H4" s="99"/>
      <c r="I4" s="104" t="s">
        <v>181</v>
      </c>
      <c r="J4" s="104"/>
      <c r="K4" s="60" t="s">
        <v>182</v>
      </c>
      <c r="L4" s="60" t="s">
        <v>183</v>
      </c>
      <c r="M4" s="60" t="s">
        <v>196</v>
      </c>
      <c r="N4" s="60" t="s">
        <v>195</v>
      </c>
      <c r="O4" s="60" t="s">
        <v>203</v>
      </c>
      <c r="P4" s="104" t="s">
        <v>181</v>
      </c>
      <c r="Q4" s="104"/>
      <c r="R4" s="60" t="s">
        <v>182</v>
      </c>
      <c r="S4" s="60" t="s">
        <v>183</v>
      </c>
      <c r="T4" s="60" t="s">
        <v>196</v>
      </c>
      <c r="U4" s="60" t="s">
        <v>195</v>
      </c>
    </row>
    <row r="5" spans="1:23" x14ac:dyDescent="0.25">
      <c r="B5" s="62">
        <v>1</v>
      </c>
      <c r="C5" s="67">
        <v>10</v>
      </c>
      <c r="D5" s="67">
        <v>10</v>
      </c>
      <c r="E5" s="100" t="s">
        <v>26</v>
      </c>
      <c r="F5" s="100"/>
      <c r="G5" s="100"/>
      <c r="H5" s="101"/>
      <c r="I5" s="108" t="s">
        <v>184</v>
      </c>
      <c r="J5" s="108"/>
      <c r="K5" s="67">
        <v>-200</v>
      </c>
      <c r="L5" s="67">
        <v>200</v>
      </c>
      <c r="M5" s="67">
        <v>5</v>
      </c>
      <c r="N5" s="68">
        <v>5</v>
      </c>
      <c r="O5" s="72">
        <v>1</v>
      </c>
      <c r="P5" s="105" t="s">
        <v>186</v>
      </c>
      <c r="Q5" s="101"/>
      <c r="R5" s="67">
        <v>0</v>
      </c>
      <c r="S5" s="67">
        <v>1000</v>
      </c>
      <c r="T5" s="67" t="s">
        <v>185</v>
      </c>
      <c r="U5" s="67" t="s">
        <v>185</v>
      </c>
    </row>
    <row r="6" spans="1:23" ht="14.45" x14ac:dyDescent="0.3">
      <c r="K6" s="65"/>
      <c r="L6" s="65"/>
      <c r="M6" s="66"/>
      <c r="N6" s="66"/>
      <c r="O6" s="73">
        <v>2</v>
      </c>
      <c r="P6" s="105" t="s">
        <v>206</v>
      </c>
      <c r="Q6" s="101"/>
      <c r="R6" s="69">
        <v>0</v>
      </c>
      <c r="S6" s="70">
        <v>1000000</v>
      </c>
      <c r="T6" s="67" t="s">
        <v>185</v>
      </c>
      <c r="U6" s="67" t="s">
        <v>185</v>
      </c>
    </row>
    <row r="8" spans="1:23" ht="14.45" x14ac:dyDescent="0.3">
      <c r="C8" s="59" t="s">
        <v>199</v>
      </c>
      <c r="D8" s="61" t="s">
        <v>200</v>
      </c>
      <c r="E8" s="103" t="s">
        <v>187</v>
      </c>
      <c r="F8" s="99"/>
      <c r="G8" s="59" t="s">
        <v>179</v>
      </c>
      <c r="H8" s="103" t="s">
        <v>181</v>
      </c>
      <c r="I8" s="98"/>
      <c r="J8" s="99"/>
      <c r="K8" s="61" t="s">
        <v>188</v>
      </c>
      <c r="L8" s="61" t="s">
        <v>189</v>
      </c>
      <c r="M8" s="61" t="s">
        <v>190</v>
      </c>
      <c r="N8" s="71"/>
      <c r="P8" s="74"/>
    </row>
    <row r="9" spans="1:23" ht="14.45" x14ac:dyDescent="0.3">
      <c r="C9" s="62">
        <v>1</v>
      </c>
      <c r="D9" s="67">
        <v>1</v>
      </c>
      <c r="E9" s="106"/>
      <c r="F9" s="107"/>
      <c r="G9" s="67" t="s">
        <v>191</v>
      </c>
      <c r="H9" s="105" t="s">
        <v>192</v>
      </c>
      <c r="I9" s="100"/>
      <c r="J9" s="101"/>
      <c r="K9" s="63"/>
      <c r="L9" s="67">
        <v>1</v>
      </c>
      <c r="M9" s="67">
        <v>1</v>
      </c>
      <c r="N9" s="66"/>
    </row>
    <row r="10" spans="1:23" ht="14.45" x14ac:dyDescent="0.3">
      <c r="C10" s="62">
        <v>2</v>
      </c>
      <c r="D10" s="67">
        <v>1</v>
      </c>
      <c r="E10" s="106"/>
      <c r="F10" s="107"/>
      <c r="G10" s="67" t="s">
        <v>193</v>
      </c>
      <c r="H10" s="105" t="s">
        <v>194</v>
      </c>
      <c r="I10" s="100"/>
      <c r="J10" s="101"/>
      <c r="K10" s="64"/>
      <c r="L10" s="67">
        <v>1</v>
      </c>
      <c r="M10" s="67">
        <v>1</v>
      </c>
      <c r="N10" s="66"/>
    </row>
    <row r="15" spans="1:23" x14ac:dyDescent="0.25">
      <c r="F15" s="58"/>
      <c r="G15" s="58"/>
      <c r="H15" s="58"/>
      <c r="I15" s="58"/>
      <c r="J15" s="103" t="s">
        <v>201</v>
      </c>
      <c r="K15" s="98"/>
      <c r="L15" s="98"/>
      <c r="M15" s="98"/>
      <c r="N15" s="98"/>
      <c r="O15" s="99"/>
      <c r="P15" s="103" t="s">
        <v>202</v>
      </c>
      <c r="Q15" s="98"/>
      <c r="R15" s="98"/>
      <c r="S15" s="98"/>
      <c r="T15" s="98"/>
      <c r="U15" s="98"/>
      <c r="V15" s="99"/>
    </row>
    <row r="16" spans="1:23" x14ac:dyDescent="0.25">
      <c r="C16" s="75" t="s">
        <v>213</v>
      </c>
      <c r="D16" s="60" t="s">
        <v>211</v>
      </c>
      <c r="E16" s="61" t="s">
        <v>212</v>
      </c>
      <c r="F16" s="78" t="s">
        <v>210</v>
      </c>
      <c r="G16" s="98" t="s">
        <v>180</v>
      </c>
      <c r="H16" s="98"/>
      <c r="I16" s="99"/>
      <c r="J16" s="103" t="s">
        <v>181</v>
      </c>
      <c r="K16" s="99"/>
      <c r="L16" s="60" t="s">
        <v>182</v>
      </c>
      <c r="M16" s="60" t="s">
        <v>183</v>
      </c>
      <c r="N16" s="60" t="s">
        <v>196</v>
      </c>
      <c r="O16" s="60" t="s">
        <v>195</v>
      </c>
      <c r="P16" s="60" t="s">
        <v>203</v>
      </c>
      <c r="Q16" s="103" t="s">
        <v>181</v>
      </c>
      <c r="R16" s="99"/>
      <c r="S16" s="60" t="s">
        <v>182</v>
      </c>
      <c r="T16" s="60" t="s">
        <v>183</v>
      </c>
      <c r="U16" s="60" t="s">
        <v>196</v>
      </c>
      <c r="V16" s="60" t="s">
        <v>195</v>
      </c>
    </row>
    <row r="17" spans="1:23" x14ac:dyDescent="0.25">
      <c r="C17" s="62">
        <v>1</v>
      </c>
      <c r="D17" s="77" t="s">
        <v>142</v>
      </c>
      <c r="E17" s="77" t="s">
        <v>27</v>
      </c>
      <c r="F17" s="77" t="s">
        <v>214</v>
      </c>
      <c r="G17" s="100" t="s">
        <v>26</v>
      </c>
      <c r="H17" s="100"/>
      <c r="I17" s="101"/>
      <c r="J17" s="105" t="s">
        <v>184</v>
      </c>
      <c r="K17" s="101"/>
      <c r="L17" s="77">
        <v>-200</v>
      </c>
      <c r="M17" s="77">
        <v>200</v>
      </c>
      <c r="N17" s="77">
        <v>5</v>
      </c>
      <c r="O17" s="76">
        <v>5</v>
      </c>
      <c r="P17" s="72">
        <v>1</v>
      </c>
      <c r="Q17" s="105" t="s">
        <v>186</v>
      </c>
      <c r="R17" s="101"/>
      <c r="S17" s="77">
        <v>0</v>
      </c>
      <c r="T17" s="77">
        <v>1000</v>
      </c>
      <c r="U17" s="77" t="s">
        <v>185</v>
      </c>
      <c r="V17" s="77" t="s">
        <v>185</v>
      </c>
    </row>
    <row r="18" spans="1:23" x14ac:dyDescent="0.25">
      <c r="K18" s="65"/>
      <c r="L18" s="65"/>
      <c r="M18" s="66"/>
    </row>
    <row r="20" spans="1:23" ht="21" x14ac:dyDescent="0.35">
      <c r="A20" s="102" t="s">
        <v>208</v>
      </c>
      <c r="B20" s="102"/>
      <c r="C20" s="102"/>
      <c r="D20" s="102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2"/>
    </row>
    <row r="21" spans="1:23" x14ac:dyDescent="0.25">
      <c r="A21" t="s">
        <v>246</v>
      </c>
      <c r="B21" t="s">
        <v>258</v>
      </c>
    </row>
    <row r="22" spans="1:23" x14ac:dyDescent="0.25">
      <c r="A22" t="s">
        <v>247</v>
      </c>
      <c r="B22" t="s">
        <v>261</v>
      </c>
    </row>
    <row r="23" spans="1:23" x14ac:dyDescent="0.25">
      <c r="A23" t="s">
        <v>248</v>
      </c>
      <c r="B23" t="s">
        <v>262</v>
      </c>
    </row>
    <row r="24" spans="1:23" x14ac:dyDescent="0.25">
      <c r="A24" t="s">
        <v>249</v>
      </c>
      <c r="B24" t="s">
        <v>259</v>
      </c>
    </row>
    <row r="25" spans="1:23" x14ac:dyDescent="0.25">
      <c r="A25" t="s">
        <v>250</v>
      </c>
      <c r="B25" t="s">
        <v>260</v>
      </c>
    </row>
    <row r="26" spans="1:23" x14ac:dyDescent="0.25">
      <c r="A26" t="s">
        <v>251</v>
      </c>
      <c r="B26" t="s">
        <v>260</v>
      </c>
    </row>
    <row r="27" spans="1:23" x14ac:dyDescent="0.25">
      <c r="A27" t="s">
        <v>252</v>
      </c>
      <c r="B27" t="s">
        <v>256</v>
      </c>
    </row>
    <row r="28" spans="1:23" x14ac:dyDescent="0.25">
      <c r="A28" t="s">
        <v>253</v>
      </c>
      <c r="B28" t="s">
        <v>256</v>
      </c>
    </row>
    <row r="29" spans="1:23" x14ac:dyDescent="0.25">
      <c r="A29" t="s">
        <v>254</v>
      </c>
      <c r="B29" t="s">
        <v>257</v>
      </c>
    </row>
    <row r="30" spans="1:23" x14ac:dyDescent="0.25">
      <c r="A30" t="s">
        <v>228</v>
      </c>
      <c r="B30" t="s">
        <v>257</v>
      </c>
    </row>
    <row r="31" spans="1:23" x14ac:dyDescent="0.25">
      <c r="A31" t="s">
        <v>229</v>
      </c>
    </row>
    <row r="32" spans="1:23" x14ac:dyDescent="0.25">
      <c r="A32" t="s">
        <v>230</v>
      </c>
    </row>
    <row r="33" spans="1:1" x14ac:dyDescent="0.25">
      <c r="A33" t="s">
        <v>231</v>
      </c>
    </row>
    <row r="34" spans="1:1" x14ac:dyDescent="0.25">
      <c r="A34" t="s">
        <v>232</v>
      </c>
    </row>
    <row r="35" spans="1:1" x14ac:dyDescent="0.25">
      <c r="A35" t="s">
        <v>233</v>
      </c>
    </row>
    <row r="36" spans="1:1" x14ac:dyDescent="0.25">
      <c r="A36" t="s">
        <v>234</v>
      </c>
    </row>
    <row r="37" spans="1:1" x14ac:dyDescent="0.25">
      <c r="A37" t="s">
        <v>235</v>
      </c>
    </row>
    <row r="38" spans="1:1" x14ac:dyDescent="0.25">
      <c r="A38" t="s">
        <v>236</v>
      </c>
    </row>
    <row r="39" spans="1:1" x14ac:dyDescent="0.25">
      <c r="A39" t="s">
        <v>237</v>
      </c>
    </row>
    <row r="40" spans="1:1" x14ac:dyDescent="0.25">
      <c r="A40" t="s">
        <v>238</v>
      </c>
    </row>
    <row r="41" spans="1:1" x14ac:dyDescent="0.25">
      <c r="A41" t="s">
        <v>239</v>
      </c>
    </row>
    <row r="42" spans="1:1" x14ac:dyDescent="0.25">
      <c r="A42" t="s">
        <v>240</v>
      </c>
    </row>
    <row r="43" spans="1:1" x14ac:dyDescent="0.25">
      <c r="A43" t="s">
        <v>241</v>
      </c>
    </row>
    <row r="44" spans="1:1" x14ac:dyDescent="0.25">
      <c r="A44" t="s">
        <v>242</v>
      </c>
    </row>
    <row r="45" spans="1:1" x14ac:dyDescent="0.25">
      <c r="A45" t="s">
        <v>243</v>
      </c>
    </row>
    <row r="46" spans="1:1" x14ac:dyDescent="0.25">
      <c r="A46" t="s">
        <v>244</v>
      </c>
    </row>
    <row r="47" spans="1:1" x14ac:dyDescent="0.25">
      <c r="A47" t="s">
        <v>245</v>
      </c>
    </row>
  </sheetData>
  <mergeCells count="25">
    <mergeCell ref="O3:U3"/>
    <mergeCell ref="A1:W1"/>
    <mergeCell ref="E10:F10"/>
    <mergeCell ref="H10:J10"/>
    <mergeCell ref="P6:Q6"/>
    <mergeCell ref="E8:F8"/>
    <mergeCell ref="H8:J8"/>
    <mergeCell ref="E9:F9"/>
    <mergeCell ref="H9:J9"/>
    <mergeCell ref="E5:H5"/>
    <mergeCell ref="I5:J5"/>
    <mergeCell ref="P5:Q5"/>
    <mergeCell ref="I3:N3"/>
    <mergeCell ref="G16:I16"/>
    <mergeCell ref="G17:I17"/>
    <mergeCell ref="A20:W20"/>
    <mergeCell ref="E4:H4"/>
    <mergeCell ref="I4:J4"/>
    <mergeCell ref="P4:Q4"/>
    <mergeCell ref="P15:V15"/>
    <mergeCell ref="Q17:R17"/>
    <mergeCell ref="J15:O15"/>
    <mergeCell ref="Q16:R16"/>
    <mergeCell ref="J16:K16"/>
    <mergeCell ref="J17:K17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8">
    <tabColor rgb="FF7D7D7D"/>
  </sheetPr>
  <dimension ref="A1:X18"/>
  <sheetViews>
    <sheetView workbookViewId="0">
      <selection activeCell="B34" sqref="B34"/>
    </sheetView>
  </sheetViews>
  <sheetFormatPr baseColWidth="10" defaultRowHeight="15" x14ac:dyDescent="0.25"/>
  <cols>
    <col min="1" max="1" width="36.85546875" customWidth="1"/>
    <col min="2" max="2" width="60" bestFit="1" customWidth="1"/>
    <col min="3" max="3" width="13.28515625" bestFit="1" customWidth="1"/>
  </cols>
  <sheetData>
    <row r="1" spans="1:24" x14ac:dyDescent="0.25">
      <c r="A1" s="109" t="s">
        <v>134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1"/>
    </row>
    <row r="2" spans="1:24" ht="15.75" thickBot="1" x14ac:dyDescent="0.3">
      <c r="A2" s="112"/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4"/>
    </row>
    <row r="3" spans="1:24" thickBot="1" x14ac:dyDescent="0.35"/>
    <row r="4" spans="1:24" ht="14.45" x14ac:dyDescent="0.3">
      <c r="A4" s="45" t="s">
        <v>139</v>
      </c>
      <c r="B4" s="47" t="s">
        <v>142</v>
      </c>
    </row>
    <row r="5" spans="1:24" ht="14.45" x14ac:dyDescent="0.3">
      <c r="A5" s="46" t="s">
        <v>140</v>
      </c>
      <c r="B5" s="48" t="s">
        <v>27</v>
      </c>
      <c r="H5" t="s">
        <v>146</v>
      </c>
    </row>
    <row r="6" spans="1:24" ht="14.45" x14ac:dyDescent="0.3">
      <c r="A6" s="46" t="s">
        <v>143</v>
      </c>
      <c r="B6" s="49">
        <v>0.4</v>
      </c>
    </row>
    <row r="7" spans="1:24" ht="14.45" x14ac:dyDescent="0.3">
      <c r="A7" s="46" t="s">
        <v>144</v>
      </c>
      <c r="B7" s="49">
        <v>3</v>
      </c>
    </row>
    <row r="8" spans="1:24" thickBot="1" x14ac:dyDescent="0.35">
      <c r="A8" s="51" t="s">
        <v>141</v>
      </c>
      <c r="B8" s="50"/>
    </row>
    <row r="9" spans="1:24" ht="14.45" x14ac:dyDescent="0.3">
      <c r="H9" t="s">
        <v>176</v>
      </c>
    </row>
    <row r="11" spans="1:24" thickBot="1" x14ac:dyDescent="0.35"/>
    <row r="12" spans="1:24" x14ac:dyDescent="0.25">
      <c r="A12" s="109" t="s">
        <v>135</v>
      </c>
      <c r="B12" s="110"/>
      <c r="C12" s="110"/>
      <c r="D12" s="110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1"/>
    </row>
    <row r="13" spans="1:24" ht="15.75" thickBot="1" x14ac:dyDescent="0.3">
      <c r="A13" s="112"/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4"/>
    </row>
    <row r="15" spans="1:24" ht="14.45" x14ac:dyDescent="0.3">
      <c r="A15" s="44"/>
      <c r="B15" s="44"/>
      <c r="C15" s="44"/>
    </row>
    <row r="18" spans="1:3" x14ac:dyDescent="0.25">
      <c r="A18" s="44" t="s">
        <v>136</v>
      </c>
      <c r="B18" s="44" t="s">
        <v>137</v>
      </c>
      <c r="C18" s="44" t="s">
        <v>138</v>
      </c>
    </row>
  </sheetData>
  <mergeCells count="2">
    <mergeCell ref="A1:X2"/>
    <mergeCell ref="A12:X13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0" r:id="rId4" name="Button 4">
              <controlPr defaultSize="0" print="0" autoFill="0" autoPict="0" macro="[0]!roi_readin">
                <anchor moveWithCells="1" sizeWithCells="1">
                  <from>
                    <xdr:col>3</xdr:col>
                    <xdr:colOff>752475</xdr:colOff>
                    <xdr:row>3</xdr:row>
                    <xdr:rowOff>9525</xdr:rowOff>
                  </from>
                  <to>
                    <xdr:col>6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5" name="Button 11">
              <controlPr defaultSize="0" print="0" autoFill="0" autoPict="0" macro="[0]!ROI_create_overview">
                <anchor moveWithCells="1" sizeWithCells="1">
                  <from>
                    <xdr:col>0</xdr:col>
                    <xdr:colOff>209550</xdr:colOff>
                    <xdr:row>14</xdr:row>
                    <xdr:rowOff>9525</xdr:rowOff>
                  </from>
                  <to>
                    <xdr:col>1</xdr:col>
                    <xdr:colOff>1143000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6" name="Button 12">
              <controlPr defaultSize="0" print="0" autoFill="0" autoPict="0" macro="[0]!ROI_write_output">
                <anchor moveWithCells="1" sizeWithCells="1">
                  <from>
                    <xdr:col>3</xdr:col>
                    <xdr:colOff>9525</xdr:colOff>
                    <xdr:row>14</xdr:row>
                    <xdr:rowOff>9525</xdr:rowOff>
                  </from>
                  <to>
                    <xdr:col>5</xdr:col>
                    <xdr:colOff>600075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7" name="Button 13">
              <controlPr defaultSize="0" print="0" autoFill="0" autoPict="0" macro="[0]!ROI_add_diagrams">
                <anchor moveWithCells="1" sizeWithCells="1">
                  <from>
                    <xdr:col>4</xdr:col>
                    <xdr:colOff>9525</xdr:colOff>
                    <xdr:row>6</xdr:row>
                    <xdr:rowOff>171450</xdr:rowOff>
                  </from>
                  <to>
                    <xdr:col>6</xdr:col>
                    <xdr:colOff>752475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5">
    <tabColor rgb="FF7D7D7D"/>
  </sheetPr>
  <dimension ref="A1:H10"/>
  <sheetViews>
    <sheetView tabSelected="1" workbookViewId="0">
      <selection activeCell="F34" sqref="F34"/>
    </sheetView>
  </sheetViews>
  <sheetFormatPr baseColWidth="10" defaultColWidth="10.7109375" defaultRowHeight="15" x14ac:dyDescent="0.25"/>
  <cols>
    <col min="1" max="8" width="32.7109375" customWidth="1"/>
  </cols>
  <sheetData>
    <row r="1" spans="1:8" x14ac:dyDescent="0.25">
      <c r="A1" s="123" t="s">
        <v>166</v>
      </c>
      <c r="B1" s="124"/>
      <c r="C1" s="129" t="s">
        <v>164</v>
      </c>
      <c r="D1" s="130"/>
      <c r="E1" s="135" t="s">
        <v>165</v>
      </c>
      <c r="F1" s="136"/>
      <c r="G1" s="141" t="s">
        <v>167</v>
      </c>
      <c r="H1" s="142"/>
    </row>
    <row r="2" spans="1:8" x14ac:dyDescent="0.25">
      <c r="A2" s="125"/>
      <c r="B2" s="126"/>
      <c r="C2" s="131"/>
      <c r="D2" s="132"/>
      <c r="E2" s="137"/>
      <c r="F2" s="138"/>
      <c r="G2" s="143"/>
      <c r="H2" s="144"/>
    </row>
    <row r="3" spans="1:8" ht="15.75" thickBot="1" x14ac:dyDescent="0.3">
      <c r="A3" s="127"/>
      <c r="B3" s="128"/>
      <c r="C3" s="133"/>
      <c r="D3" s="134"/>
      <c r="E3" s="139"/>
      <c r="F3" s="140"/>
      <c r="G3" s="145"/>
      <c r="H3" s="146"/>
    </row>
    <row r="4" spans="1:8" x14ac:dyDescent="0.25">
      <c r="A4" s="19"/>
      <c r="B4" s="20"/>
      <c r="C4" s="19"/>
      <c r="D4" s="20"/>
      <c r="E4" s="19" t="s">
        <v>170</v>
      </c>
      <c r="F4" s="57" t="s">
        <v>24</v>
      </c>
      <c r="G4" s="19" t="s">
        <v>292</v>
      </c>
      <c r="H4" s="20" t="s">
        <v>295</v>
      </c>
    </row>
    <row r="5" spans="1:8" x14ac:dyDescent="0.25">
      <c r="A5" s="3"/>
      <c r="B5" s="5"/>
      <c r="C5" s="3"/>
      <c r="D5" s="5"/>
      <c r="E5" s="3" t="s">
        <v>168</v>
      </c>
      <c r="F5" s="10">
        <v>720</v>
      </c>
      <c r="G5" s="3" t="s">
        <v>293</v>
      </c>
      <c r="H5" s="5" t="s">
        <v>296</v>
      </c>
    </row>
    <row r="6" spans="1:8" x14ac:dyDescent="0.25">
      <c r="A6" s="3"/>
      <c r="B6" s="5"/>
      <c r="C6" s="3"/>
      <c r="D6" s="5"/>
      <c r="E6" s="3" t="s">
        <v>169</v>
      </c>
      <c r="F6" s="10" t="s">
        <v>0</v>
      </c>
      <c r="G6" s="3" t="s">
        <v>294</v>
      </c>
      <c r="H6" s="5" t="s">
        <v>297</v>
      </c>
    </row>
    <row r="7" spans="1:8" x14ac:dyDescent="0.25">
      <c r="A7" s="3"/>
      <c r="B7" s="5"/>
      <c r="C7" s="3"/>
      <c r="D7" s="5"/>
      <c r="E7" s="3"/>
      <c r="F7" s="56"/>
      <c r="G7" s="3"/>
      <c r="H7" s="5"/>
    </row>
    <row r="8" spans="1:8" ht="14.45" x14ac:dyDescent="0.3">
      <c r="A8" s="3"/>
      <c r="B8" s="5"/>
      <c r="C8" s="3"/>
      <c r="D8" s="5"/>
      <c r="E8" s="3"/>
      <c r="F8" s="4"/>
      <c r="G8" s="3"/>
      <c r="H8" s="5"/>
    </row>
    <row r="9" spans="1:8" thickBot="1" x14ac:dyDescent="0.35">
      <c r="A9" s="16"/>
      <c r="B9" s="18"/>
      <c r="C9" s="16"/>
      <c r="D9" s="18"/>
      <c r="E9" s="3"/>
      <c r="F9" s="4"/>
      <c r="G9" s="16"/>
      <c r="H9" s="18"/>
    </row>
    <row r="10" spans="1:8" ht="15.75" thickBot="1" x14ac:dyDescent="0.3">
      <c r="A10" s="115" t="s">
        <v>171</v>
      </c>
      <c r="B10" s="116"/>
      <c r="C10" s="117" t="s">
        <v>172</v>
      </c>
      <c r="D10" s="118"/>
      <c r="E10" s="119" t="s">
        <v>173</v>
      </c>
      <c r="F10" s="120"/>
      <c r="G10" s="121" t="s">
        <v>174</v>
      </c>
      <c r="H10" s="122"/>
    </row>
  </sheetData>
  <mergeCells count="8">
    <mergeCell ref="A10:B10"/>
    <mergeCell ref="C10:D10"/>
    <mergeCell ref="E10:F10"/>
    <mergeCell ref="G10:H10"/>
    <mergeCell ref="A1:B3"/>
    <mergeCell ref="C1:D3"/>
    <mergeCell ref="E1:F3"/>
    <mergeCell ref="G1:H3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3" r:id="rId4" name="DIP_COR_folder">
              <controlPr defaultSize="0" print="0" autoFill="0" autoPict="0" macro="[0]!DIP_input_selector">
                <anchor moveWithCells="1" sizeWithCells="1">
                  <from>
                    <xdr:col>4</xdr:col>
                    <xdr:colOff>66675</xdr:colOff>
                    <xdr:row>7</xdr:row>
                    <xdr:rowOff>133350</xdr:rowOff>
                  </from>
                  <to>
                    <xdr:col>5</xdr:col>
                    <xdr:colOff>2105025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5" name="DIP_COR_file">
              <controlPr defaultSize="0" print="0" autoFill="0" autoPict="0" macro="[0]!DIP_input_selector">
                <anchor moveWithCells="1" sizeWithCells="1">
                  <from>
                    <xdr:col>4</xdr:col>
                    <xdr:colOff>57150</xdr:colOff>
                    <xdr:row>6</xdr:row>
                    <xdr:rowOff>57150</xdr:rowOff>
                  </from>
                  <to>
                    <xdr:col>5</xdr:col>
                    <xdr:colOff>2095500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6" name="DIP_FIR_folder">
              <controlPr defaultSize="0" print="0" autoFill="0" autoPict="0" macro="[0]!DIP_input_selector">
                <anchor moveWithCells="1" sizeWithCells="1">
                  <from>
                    <xdr:col>2</xdr:col>
                    <xdr:colOff>28575</xdr:colOff>
                    <xdr:row>7</xdr:row>
                    <xdr:rowOff>133350</xdr:rowOff>
                  </from>
                  <to>
                    <xdr:col>3</xdr:col>
                    <xdr:colOff>2066925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7" name="DIP_FIR_file">
              <controlPr defaultSize="0" print="0" autoFill="0" autoPict="0" macro="[0]!DIP_input_selector">
                <anchor moveWithCells="1" sizeWithCells="1">
                  <from>
                    <xdr:col>2</xdr:col>
                    <xdr:colOff>19050</xdr:colOff>
                    <xdr:row>6</xdr:row>
                    <xdr:rowOff>57150</xdr:rowOff>
                  </from>
                  <to>
                    <xdr:col>3</xdr:col>
                    <xdr:colOff>2057400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8" name="DIP_EXP_file">
              <controlPr defaultSize="0" print="0" autoFill="0" autoPict="0" macro="[0]!DIP_input_selector">
                <anchor moveWithCells="1" sizeWithCells="1">
                  <from>
                    <xdr:col>0</xdr:col>
                    <xdr:colOff>47625</xdr:colOff>
                    <xdr:row>6</xdr:row>
                    <xdr:rowOff>66675</xdr:rowOff>
                  </from>
                  <to>
                    <xdr:col>1</xdr:col>
                    <xdr:colOff>2085975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9" name="DIP_QCF_folder">
              <controlPr defaultSize="0" print="0" autoFill="0" autoPict="0" macro="[0]!DIP_input_selector">
                <anchor moveWithCells="1" sizeWithCells="1">
                  <from>
                    <xdr:col>6</xdr:col>
                    <xdr:colOff>57150</xdr:colOff>
                    <xdr:row>7</xdr:row>
                    <xdr:rowOff>123825</xdr:rowOff>
                  </from>
                  <to>
                    <xdr:col>7</xdr:col>
                    <xdr:colOff>2095500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0" name="DIP_QCF_file">
              <controlPr defaultSize="0" print="0" autoFill="0" autoPict="0" macro="[0]!DIP_input_selector">
                <anchor moveWithCells="1" sizeWithCells="1">
                  <from>
                    <xdr:col>6</xdr:col>
                    <xdr:colOff>47625</xdr:colOff>
                    <xdr:row>6</xdr:row>
                    <xdr:rowOff>47625</xdr:rowOff>
                  </from>
                  <to>
                    <xdr:col>7</xdr:col>
                    <xdr:colOff>2085975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1" name="DIP_EXP_folder">
              <controlPr defaultSize="0" print="0" autoFill="0" autoPict="0" macro="[0]!DIP_input_selector">
                <anchor moveWithCells="1" sizeWithCells="1">
                  <from>
                    <xdr:col>0</xdr:col>
                    <xdr:colOff>57150</xdr:colOff>
                    <xdr:row>7</xdr:row>
                    <xdr:rowOff>133350</xdr:rowOff>
                  </from>
                  <to>
                    <xdr:col>1</xdr:col>
                    <xdr:colOff>2095500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2" name="Button 16">
              <controlPr defaultSize="0" print="0" autoFill="0" autoPict="0" macro="[0]!UPD_update_readin">
                <anchor moveWithCells="1" sizeWithCells="1">
                  <from>
                    <xdr:col>8</xdr:col>
                    <xdr:colOff>428625</xdr:colOff>
                    <xdr:row>0</xdr:row>
                    <xdr:rowOff>85725</xdr:rowOff>
                  </from>
                  <to>
                    <xdr:col>12</xdr:col>
                    <xdr:colOff>104775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6">
    <tabColor rgb="FF7D7D7D"/>
  </sheetPr>
  <dimension ref="A1:W10"/>
  <sheetViews>
    <sheetView zoomScale="85" zoomScaleNormal="85" workbookViewId="0">
      <selection activeCell="G40" sqref="G40:G41"/>
    </sheetView>
  </sheetViews>
  <sheetFormatPr baseColWidth="10" defaultRowHeight="15" x14ac:dyDescent="0.25"/>
  <cols>
    <col min="1" max="1" width="14.42578125" customWidth="1"/>
    <col min="2" max="2" width="11.85546875" bestFit="1" customWidth="1"/>
    <col min="5" max="5" width="12" bestFit="1" customWidth="1"/>
    <col min="6" max="6" width="13.28515625" bestFit="1" customWidth="1"/>
  </cols>
  <sheetData>
    <row r="1" spans="1:23" ht="15" customHeight="1" x14ac:dyDescent="0.25">
      <c r="A1" s="147" t="s">
        <v>197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</row>
    <row r="2" spans="1:23" ht="15" customHeight="1" x14ac:dyDescent="0.25">
      <c r="A2" s="147"/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</row>
    <row r="4" spans="1:23" x14ac:dyDescent="0.25">
      <c r="B4" s="81" t="s">
        <v>198</v>
      </c>
      <c r="C4" s="60" t="s">
        <v>177</v>
      </c>
      <c r="D4" s="60" t="s">
        <v>178</v>
      </c>
      <c r="E4" s="103" t="s">
        <v>180</v>
      </c>
      <c r="F4" s="98"/>
      <c r="G4" s="98"/>
      <c r="H4" s="99"/>
      <c r="I4" s="104" t="s">
        <v>181</v>
      </c>
      <c r="J4" s="104"/>
      <c r="K4" s="60" t="s">
        <v>182</v>
      </c>
      <c r="L4" s="60" t="s">
        <v>183</v>
      </c>
      <c r="M4" s="60" t="s">
        <v>196</v>
      </c>
      <c r="N4" s="60" t="s">
        <v>195</v>
      </c>
      <c r="O4" s="60" t="s">
        <v>203</v>
      </c>
      <c r="P4" s="104" t="s">
        <v>181</v>
      </c>
      <c r="Q4" s="104"/>
      <c r="R4" s="60" t="s">
        <v>182</v>
      </c>
      <c r="S4" s="60" t="s">
        <v>183</v>
      </c>
      <c r="T4" s="60" t="s">
        <v>196</v>
      </c>
      <c r="U4" s="60" t="s">
        <v>195</v>
      </c>
    </row>
    <row r="5" spans="1:23" x14ac:dyDescent="0.25">
      <c r="B5" s="62">
        <v>1</v>
      </c>
      <c r="C5" s="80">
        <v>30</v>
      </c>
      <c r="D5" s="80">
        <v>15</v>
      </c>
      <c r="E5" s="100" t="s">
        <v>257</v>
      </c>
      <c r="F5" s="100"/>
      <c r="G5" s="100"/>
      <c r="H5" s="101"/>
      <c r="I5" s="108" t="s">
        <v>224</v>
      </c>
      <c r="J5" s="108"/>
      <c r="K5" s="80">
        <v>-40</v>
      </c>
      <c r="L5" s="80">
        <v>100</v>
      </c>
      <c r="M5" s="80">
        <v>40</v>
      </c>
      <c r="N5" s="79">
        <v>20</v>
      </c>
      <c r="O5" s="72">
        <v>1</v>
      </c>
      <c r="P5" s="105" t="s">
        <v>225</v>
      </c>
      <c r="Q5" s="101"/>
      <c r="R5" s="80" t="s">
        <v>185</v>
      </c>
      <c r="S5" s="80" t="s">
        <v>185</v>
      </c>
      <c r="T5" s="80" t="s">
        <v>185</v>
      </c>
      <c r="U5" s="80" t="s">
        <v>185</v>
      </c>
    </row>
    <row r="6" spans="1:23" x14ac:dyDescent="0.25">
      <c r="K6" s="65"/>
      <c r="L6" s="65"/>
      <c r="M6" s="66"/>
      <c r="N6" s="66"/>
      <c r="O6" s="73">
        <v>2</v>
      </c>
      <c r="P6" s="105" t="s">
        <v>255</v>
      </c>
      <c r="Q6" s="101"/>
      <c r="R6" s="69">
        <v>0</v>
      </c>
      <c r="S6" s="70" t="s">
        <v>185</v>
      </c>
      <c r="T6" s="80" t="s">
        <v>185</v>
      </c>
      <c r="U6" s="80" t="s">
        <v>185</v>
      </c>
    </row>
    <row r="8" spans="1:23" x14ac:dyDescent="0.25">
      <c r="C8" s="81" t="s">
        <v>199</v>
      </c>
      <c r="D8" s="61" t="s">
        <v>200</v>
      </c>
      <c r="E8" s="103" t="s">
        <v>187</v>
      </c>
      <c r="F8" s="99"/>
      <c r="G8" s="81" t="s">
        <v>179</v>
      </c>
      <c r="H8" s="103" t="s">
        <v>181</v>
      </c>
      <c r="I8" s="98"/>
      <c r="J8" s="99"/>
      <c r="K8" s="61" t="s">
        <v>188</v>
      </c>
      <c r="L8" s="61" t="s">
        <v>189</v>
      </c>
      <c r="M8" s="61" t="s">
        <v>190</v>
      </c>
      <c r="N8" s="71"/>
      <c r="P8" s="74"/>
    </row>
    <row r="9" spans="1:23" x14ac:dyDescent="0.25">
      <c r="C9" s="62">
        <v>1</v>
      </c>
      <c r="D9" s="80">
        <v>1</v>
      </c>
      <c r="E9" s="106">
        <v>7</v>
      </c>
      <c r="F9" s="107"/>
      <c r="G9" s="80" t="s">
        <v>263</v>
      </c>
      <c r="H9" s="105" t="s">
        <v>264</v>
      </c>
      <c r="I9" s="100"/>
      <c r="J9" s="101"/>
      <c r="K9" s="82"/>
      <c r="L9" s="80">
        <v>1</v>
      </c>
      <c r="M9" s="80">
        <v>2</v>
      </c>
    </row>
    <row r="10" spans="1:23" x14ac:dyDescent="0.25">
      <c r="C10" s="62">
        <v>2</v>
      </c>
      <c r="D10" s="80">
        <v>1</v>
      </c>
      <c r="E10" s="106">
        <v>23</v>
      </c>
      <c r="F10" s="107"/>
      <c r="G10" s="80" t="s">
        <v>263</v>
      </c>
      <c r="H10" s="105" t="s">
        <v>265</v>
      </c>
      <c r="I10" s="100"/>
      <c r="J10" s="101"/>
      <c r="K10" s="83"/>
      <c r="L10" s="80">
        <v>1</v>
      </c>
      <c r="M10" s="80">
        <v>2</v>
      </c>
    </row>
  </sheetData>
  <mergeCells count="14">
    <mergeCell ref="P6:Q6"/>
    <mergeCell ref="A1:W2"/>
    <mergeCell ref="E5:H5"/>
    <mergeCell ref="I5:J5"/>
    <mergeCell ref="P5:Q5"/>
    <mergeCell ref="E4:H4"/>
    <mergeCell ref="I4:J4"/>
    <mergeCell ref="P4:Q4"/>
    <mergeCell ref="E10:F10"/>
    <mergeCell ref="H10:J10"/>
    <mergeCell ref="E9:F9"/>
    <mergeCell ref="H9:J9"/>
    <mergeCell ref="E8:F8"/>
    <mergeCell ref="H8:J8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371" r:id="rId4" name="Button 699">
              <controlPr defaultSize="0" print="0" autoFill="0" autoPict="0" macro="[0]!DIA_copy_template">
                <anchor moveWithCells="1" sizeWithCells="1">
                  <from>
                    <xdr:col>2</xdr:col>
                    <xdr:colOff>171450</xdr:colOff>
                    <xdr:row>0</xdr:row>
                    <xdr:rowOff>76200</xdr:rowOff>
                  </from>
                  <to>
                    <xdr:col>4</xdr:col>
                    <xdr:colOff>666750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384" r:id="rId5" name="Button 712">
              <controlPr defaultSize="0" print="0" autoFill="0" autoPict="0" macro="[0]!DIA_plot">
                <anchor moveWithCells="1" sizeWithCells="1">
                  <from>
                    <xdr:col>20</xdr:col>
                    <xdr:colOff>47625</xdr:colOff>
                    <xdr:row>0</xdr:row>
                    <xdr:rowOff>85725</xdr:rowOff>
                  </from>
                  <to>
                    <xdr:col>22</xdr:col>
                    <xdr:colOff>542925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81" r:id="rId6" name="button_addline">
              <controlPr defaultSize="0" print="0" autoFill="0" autoPict="0" macro="[0]!DIA_add_line">
                <anchor moveWithCells="1" sizeWithCells="1">
                  <from>
                    <xdr:col>13</xdr:col>
                    <xdr:colOff>95250</xdr:colOff>
                    <xdr:row>7</xdr:row>
                    <xdr:rowOff>0</xdr:rowOff>
                  </from>
                  <to>
                    <xdr:col>13</xdr:col>
                    <xdr:colOff>628650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83" r:id="rId7" name="button_deleteline 1">
              <controlPr defaultSize="0" print="0" autoFill="0" autoPict="0" macro="[0]!DIA_delete_line">
                <anchor moveWithCells="1" sizeWithCells="1">
                  <from>
                    <xdr:col>13</xdr:col>
                    <xdr:colOff>200025</xdr:colOff>
                    <xdr:row>8</xdr:row>
                    <xdr:rowOff>9525</xdr:rowOff>
                  </from>
                  <to>
                    <xdr:col>13</xdr:col>
                    <xdr:colOff>504825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85" r:id="rId8" name="button_deleteline 2">
              <controlPr defaultSize="0" print="0" autoFill="0" autoPict="0" macro="[0]!DIA_delete_line">
                <anchor moveWithCells="1" sizeWithCells="1">
                  <from>
                    <xdr:col>13</xdr:col>
                    <xdr:colOff>200025</xdr:colOff>
                    <xdr:row>9</xdr:row>
                    <xdr:rowOff>9525</xdr:rowOff>
                  </from>
                  <to>
                    <xdr:col>13</xdr:col>
                    <xdr:colOff>504825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20" r:id="rId9" name="dropdown_line_ 1">
              <controlPr defaultSize="0" autoFill="0" autoPict="0">
                <anchor moveWithCells="1">
                  <from>
                    <xdr:col>4</xdr:col>
                    <xdr:colOff>28575</xdr:colOff>
                    <xdr:row>8</xdr:row>
                    <xdr:rowOff>19050</xdr:rowOff>
                  </from>
                  <to>
                    <xdr:col>5</xdr:col>
                    <xdr:colOff>752475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21" r:id="rId10" name="dropdown_line_ 2">
              <controlPr defaultSize="0" autoFill="0" autoPict="0">
                <anchor moveWithCells="1">
                  <from>
                    <xdr:col>4</xdr:col>
                    <xdr:colOff>28575</xdr:colOff>
                    <xdr:row>9</xdr:row>
                    <xdr:rowOff>19050</xdr:rowOff>
                  </from>
                  <to>
                    <xdr:col>5</xdr:col>
                    <xdr:colOff>752475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23">
    <tabColor rgb="FF7D7D7D"/>
  </sheetPr>
  <dimension ref="A1:T7"/>
  <sheetViews>
    <sheetView zoomScaleNormal="100" workbookViewId="0">
      <pane ySplit="7" topLeftCell="A8" activePane="bottomLeft" state="frozen"/>
      <selection activeCell="F36" sqref="F36"/>
      <selection pane="bottomLeft" activeCell="J40" sqref="J40"/>
    </sheetView>
  </sheetViews>
  <sheetFormatPr baseColWidth="10" defaultRowHeight="15" x14ac:dyDescent="0.25"/>
  <sheetData>
    <row r="1" spans="1:20" s="148" customFormat="1" x14ac:dyDescent="0.25">
      <c r="A1" s="148" t="s">
        <v>215</v>
      </c>
    </row>
    <row r="2" spans="1:20" s="148" customFormat="1" x14ac:dyDescent="0.25"/>
    <row r="5" spans="1:20" ht="14.45" x14ac:dyDescent="0.3">
      <c r="D5" s="58"/>
      <c r="E5" s="58"/>
      <c r="F5" s="58"/>
      <c r="G5" s="58"/>
      <c r="H5" s="103" t="s">
        <v>201</v>
      </c>
      <c r="I5" s="98"/>
      <c r="J5" s="98"/>
      <c r="K5" s="98"/>
      <c r="L5" s="98"/>
      <c r="M5" s="99"/>
      <c r="N5" s="103" t="s">
        <v>202</v>
      </c>
      <c r="O5" s="98"/>
      <c r="P5" s="98"/>
      <c r="Q5" s="98"/>
      <c r="R5" s="98"/>
      <c r="S5" s="98"/>
      <c r="T5" s="99"/>
    </row>
    <row r="6" spans="1:20" ht="14.45" x14ac:dyDescent="0.3">
      <c r="A6" s="75" t="s">
        <v>213</v>
      </c>
      <c r="B6" s="60" t="s">
        <v>211</v>
      </c>
      <c r="C6" s="61" t="s">
        <v>212</v>
      </c>
      <c r="D6" s="78" t="s">
        <v>210</v>
      </c>
      <c r="E6" s="98" t="s">
        <v>180</v>
      </c>
      <c r="F6" s="98"/>
      <c r="G6" s="99"/>
      <c r="H6" s="103" t="s">
        <v>181</v>
      </c>
      <c r="I6" s="99"/>
      <c r="J6" s="60" t="s">
        <v>182</v>
      </c>
      <c r="K6" s="60" t="s">
        <v>183</v>
      </c>
      <c r="L6" s="60" t="s">
        <v>196</v>
      </c>
      <c r="M6" s="60" t="s">
        <v>195</v>
      </c>
      <c r="N6" s="60" t="s">
        <v>203</v>
      </c>
      <c r="O6" s="103" t="s">
        <v>181</v>
      </c>
      <c r="P6" s="99"/>
      <c r="Q6" s="60" t="s">
        <v>182</v>
      </c>
      <c r="R6" s="60" t="s">
        <v>183</v>
      </c>
      <c r="S6" s="60" t="s">
        <v>196</v>
      </c>
      <c r="T6" s="60" t="s">
        <v>195</v>
      </c>
    </row>
    <row r="7" spans="1:20" x14ac:dyDescent="0.25">
      <c r="A7" s="62" t="s">
        <v>223</v>
      </c>
      <c r="B7" s="77" t="s">
        <v>217</v>
      </c>
      <c r="C7" s="77" t="s">
        <v>222</v>
      </c>
      <c r="D7" s="77" t="s">
        <v>217</v>
      </c>
      <c r="E7" s="100" t="s">
        <v>26</v>
      </c>
      <c r="F7" s="100"/>
      <c r="G7" s="101"/>
      <c r="H7" s="105" t="s">
        <v>184</v>
      </c>
      <c r="I7" s="101"/>
      <c r="J7" s="77">
        <v>-40</v>
      </c>
      <c r="K7" s="77">
        <v>100</v>
      </c>
      <c r="L7" s="77">
        <v>40</v>
      </c>
      <c r="M7" s="76">
        <v>20</v>
      </c>
      <c r="N7" s="72">
        <v>1</v>
      </c>
      <c r="O7" s="105" t="s">
        <v>186</v>
      </c>
      <c r="P7" s="101"/>
      <c r="Q7" s="77">
        <v>0</v>
      </c>
      <c r="R7" s="77" t="s">
        <v>185</v>
      </c>
      <c r="S7" s="77" t="s">
        <v>185</v>
      </c>
      <c r="T7" s="77" t="s">
        <v>185</v>
      </c>
    </row>
  </sheetData>
  <mergeCells count="9">
    <mergeCell ref="E7:G7"/>
    <mergeCell ref="H7:I7"/>
    <mergeCell ref="O7:P7"/>
    <mergeCell ref="A1:XFD2"/>
    <mergeCell ref="H5:M5"/>
    <mergeCell ref="N5:T5"/>
    <mergeCell ref="E6:G6"/>
    <mergeCell ref="H6:I6"/>
    <mergeCell ref="O6:P6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DIA_fastplot">
                <anchor moveWithCells="1" sizeWithCells="1">
                  <from>
                    <xdr:col>20</xdr:col>
                    <xdr:colOff>752475</xdr:colOff>
                    <xdr:row>3</xdr:row>
                    <xdr:rowOff>0</xdr:rowOff>
                  </from>
                  <to>
                    <xdr:col>22</xdr:col>
                    <xdr:colOff>752475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35">
    <tabColor rgb="FF7D7D7D"/>
  </sheetPr>
  <dimension ref="A1:F3"/>
  <sheetViews>
    <sheetView workbookViewId="0">
      <selection activeCell="L34" sqref="L34"/>
    </sheetView>
  </sheetViews>
  <sheetFormatPr baseColWidth="10" defaultRowHeight="15" x14ac:dyDescent="0.25"/>
  <cols>
    <col min="1" max="1" width="8.28515625" bestFit="1" customWidth="1"/>
    <col min="2" max="2" width="8.28515625" customWidth="1"/>
    <col min="3" max="3" width="22.85546875" bestFit="1" customWidth="1"/>
    <col min="4" max="4" width="36.5703125" customWidth="1"/>
    <col min="5" max="5" width="19.85546875" customWidth="1"/>
  </cols>
  <sheetData>
    <row r="1" spans="1:6" ht="13.9" customHeight="1" x14ac:dyDescent="0.3">
      <c r="A1" s="1" t="s">
        <v>16</v>
      </c>
      <c r="B1" s="1" t="s">
        <v>21</v>
      </c>
      <c r="C1" s="1" t="s">
        <v>17</v>
      </c>
      <c r="D1" s="1" t="s">
        <v>18</v>
      </c>
      <c r="E1" s="1" t="s">
        <v>19</v>
      </c>
      <c r="F1" s="1" t="s">
        <v>20</v>
      </c>
    </row>
    <row r="3" spans="1:6" ht="14.45" x14ac:dyDescent="0.3">
      <c r="B3" s="22"/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34">
    <tabColor rgb="FF7D7D7D"/>
  </sheetPr>
  <dimension ref="A1:V15"/>
  <sheetViews>
    <sheetView zoomScale="85" zoomScaleNormal="85" workbookViewId="0">
      <pane ySplit="15" topLeftCell="A17" activePane="bottomLeft" state="frozen"/>
      <selection activeCell="F36" sqref="F36"/>
      <selection pane="bottomLeft" activeCell="F36" sqref="F36"/>
    </sheetView>
  </sheetViews>
  <sheetFormatPr baseColWidth="10" defaultRowHeight="15" x14ac:dyDescent="0.25"/>
  <cols>
    <col min="1" max="1" width="10.28515625" customWidth="1"/>
    <col min="2" max="2" width="24" customWidth="1"/>
    <col min="3" max="3" width="19.85546875" customWidth="1"/>
    <col min="4" max="4" width="12.28515625" customWidth="1"/>
    <col min="7" max="7" width="20" customWidth="1"/>
    <col min="8" max="8" width="19.7109375" customWidth="1"/>
    <col min="9" max="9" width="18.42578125" customWidth="1"/>
    <col min="12" max="12" width="21.7109375" customWidth="1"/>
    <col min="13" max="13" width="58" customWidth="1"/>
  </cols>
  <sheetData>
    <row r="1" spans="1:22" s="88" customFormat="1" x14ac:dyDescent="0.25">
      <c r="A1" s="85" t="s">
        <v>2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7"/>
    </row>
    <row r="2" spans="1:22" s="88" customFormat="1" x14ac:dyDescent="0.25">
      <c r="A2" s="89"/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1"/>
    </row>
    <row r="3" spans="1:22" thickBot="1" x14ac:dyDescent="0.35"/>
    <row r="4" spans="1:22" ht="18.600000000000001" thickBot="1" x14ac:dyDescent="0.4">
      <c r="B4" s="92" t="s">
        <v>3</v>
      </c>
      <c r="C4" s="93"/>
      <c r="D4" s="94"/>
      <c r="G4" s="92" t="s">
        <v>4</v>
      </c>
      <c r="H4" s="93"/>
      <c r="I4" s="94"/>
      <c r="L4" s="95" t="s">
        <v>5</v>
      </c>
      <c r="M4" s="96"/>
      <c r="N4" s="96"/>
      <c r="O4" s="96"/>
      <c r="P4" s="96"/>
      <c r="Q4" s="97"/>
    </row>
    <row r="5" spans="1:22" ht="14.45" x14ac:dyDescent="0.3">
      <c r="B5" s="3"/>
      <c r="C5" s="4"/>
      <c r="D5" s="5"/>
      <c r="G5" s="3"/>
      <c r="H5" s="4"/>
      <c r="I5" s="5"/>
      <c r="L5" s="3"/>
      <c r="M5" s="4"/>
      <c r="N5" s="4"/>
      <c r="O5" s="4"/>
      <c r="P5" s="4"/>
      <c r="Q5" s="5"/>
    </row>
    <row r="6" spans="1:22" ht="18.75" customHeight="1" x14ac:dyDescent="0.3">
      <c r="B6" s="3"/>
      <c r="C6" s="4"/>
      <c r="D6" s="5"/>
      <c r="F6" s="6"/>
      <c r="G6" s="3"/>
      <c r="H6" s="4"/>
      <c r="I6" s="5"/>
      <c r="K6" s="6"/>
      <c r="L6" s="3"/>
      <c r="M6" s="4"/>
      <c r="N6" s="4"/>
      <c r="O6" s="4"/>
      <c r="P6" s="4"/>
      <c r="Q6" s="5"/>
    </row>
    <row r="7" spans="1:22" ht="14.45" x14ac:dyDescent="0.3">
      <c r="B7" s="3"/>
      <c r="C7" s="7">
        <v>47</v>
      </c>
      <c r="D7" s="5"/>
      <c r="F7" s="6"/>
      <c r="G7" s="8"/>
      <c r="H7" s="4"/>
      <c r="I7" s="5"/>
      <c r="K7" s="6"/>
      <c r="L7" s="3"/>
      <c r="M7" s="4"/>
      <c r="N7" s="4"/>
      <c r="O7" s="4"/>
      <c r="P7" s="4"/>
      <c r="Q7" s="5"/>
    </row>
    <row r="8" spans="1:22" ht="14.45" x14ac:dyDescent="0.3">
      <c r="B8" s="9" t="s">
        <v>6</v>
      </c>
      <c r="C8" s="10">
        <v>-40</v>
      </c>
      <c r="D8" s="5" t="s">
        <v>7</v>
      </c>
      <c r="F8" s="6"/>
      <c r="G8" s="3" t="s">
        <v>220</v>
      </c>
      <c r="H8" s="4">
        <v>3</v>
      </c>
      <c r="I8" s="5"/>
      <c r="K8" s="6"/>
      <c r="L8" s="3" t="s">
        <v>8</v>
      </c>
      <c r="M8" s="10" t="s">
        <v>226</v>
      </c>
      <c r="N8" s="4"/>
      <c r="O8" s="4"/>
      <c r="P8" s="4"/>
      <c r="Q8" s="5"/>
    </row>
    <row r="9" spans="1:22" ht="14.45" x14ac:dyDescent="0.3">
      <c r="B9" s="9" t="s">
        <v>9</v>
      </c>
      <c r="C9" s="10">
        <v>100</v>
      </c>
      <c r="D9" s="5" t="s">
        <v>7</v>
      </c>
      <c r="F9" s="6"/>
      <c r="G9" s="3"/>
      <c r="H9" s="4"/>
      <c r="I9" s="5"/>
      <c r="K9" s="6"/>
      <c r="L9" s="3" t="s">
        <v>10</v>
      </c>
      <c r="M9" s="10" t="s">
        <v>227</v>
      </c>
      <c r="N9" s="4"/>
      <c r="O9" s="4"/>
      <c r="P9" s="4"/>
      <c r="Q9" s="5"/>
    </row>
    <row r="10" spans="1:22" ht="14.45" x14ac:dyDescent="0.3">
      <c r="B10" s="9" t="s">
        <v>23</v>
      </c>
      <c r="C10" s="11">
        <v>1</v>
      </c>
      <c r="D10" s="5" t="s">
        <v>28</v>
      </c>
      <c r="F10" s="6"/>
      <c r="G10" s="3"/>
      <c r="H10" s="4"/>
      <c r="I10" s="5"/>
      <c r="K10" s="6"/>
      <c r="L10" s="3" t="s">
        <v>11</v>
      </c>
      <c r="M10" s="10">
        <v>720</v>
      </c>
      <c r="N10" s="4"/>
      <c r="O10" s="4"/>
      <c r="P10" s="4"/>
      <c r="Q10" s="5"/>
    </row>
    <row r="11" spans="1:22" thickBot="1" x14ac:dyDescent="0.35">
      <c r="B11" s="9" t="s">
        <v>12</v>
      </c>
      <c r="C11" s="10">
        <v>1</v>
      </c>
      <c r="D11" s="5" t="s">
        <v>7</v>
      </c>
      <c r="F11" s="6"/>
      <c r="G11" s="3"/>
      <c r="H11" s="4"/>
      <c r="I11" s="5"/>
      <c r="K11" s="6"/>
      <c r="L11" s="3" t="s">
        <v>13</v>
      </c>
      <c r="M11" s="10" t="s">
        <v>22</v>
      </c>
      <c r="N11" s="4"/>
      <c r="O11" s="4"/>
      <c r="P11" s="4"/>
      <c r="Q11" s="5"/>
    </row>
    <row r="12" spans="1:22" ht="27" customHeight="1" thickBot="1" x14ac:dyDescent="0.35">
      <c r="B12" s="12" t="s">
        <v>14</v>
      </c>
      <c r="C12" s="13">
        <f>(C7-ABS(C8))/C10</f>
        <v>7</v>
      </c>
      <c r="D12" s="14">
        <f>(C7-ABS(C8))/C10</f>
        <v>7</v>
      </c>
      <c r="E12" s="15"/>
      <c r="F12" s="6"/>
      <c r="G12" s="16"/>
      <c r="H12" s="17"/>
      <c r="I12" s="21">
        <v>1</v>
      </c>
      <c r="K12" s="6"/>
      <c r="L12" s="16"/>
      <c r="M12" s="17"/>
      <c r="N12" s="17"/>
      <c r="O12" s="17"/>
      <c r="P12" s="17"/>
      <c r="Q12" s="18"/>
    </row>
    <row r="13" spans="1:22" ht="15.75" customHeight="1" x14ac:dyDescent="0.3">
      <c r="C13" s="2">
        <f>C12</f>
        <v>7</v>
      </c>
    </row>
    <row r="14" spans="1:22" s="88" customFormat="1" x14ac:dyDescent="0.25">
      <c r="A14" s="85" t="s">
        <v>15</v>
      </c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7"/>
    </row>
    <row r="15" spans="1:22" s="88" customFormat="1" x14ac:dyDescent="0.25">
      <c r="A15" s="89"/>
      <c r="B15" s="90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1"/>
    </row>
  </sheetData>
  <mergeCells count="5">
    <mergeCell ref="A1:XFD2"/>
    <mergeCell ref="B4:D4"/>
    <mergeCell ref="G4:I4"/>
    <mergeCell ref="L4:Q4"/>
    <mergeCell ref="A14:XFD15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slider_images">
              <controlPr defaultSize="0" autoPict="0">
                <anchor moveWithCells="1">
                  <from>
                    <xdr:col>1</xdr:col>
                    <xdr:colOff>76200</xdr:colOff>
                    <xdr:row>5</xdr:row>
                    <xdr:rowOff>0</xdr:rowOff>
                  </from>
                  <to>
                    <xdr:col>3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print="0" autoFill="0" autoPict="0" macro="[0]!MVT_load_diagram">
                <anchor moveWithCells="1" sizeWithCells="1">
                  <from>
                    <xdr:col>6</xdr:col>
                    <xdr:colOff>295275</xdr:colOff>
                    <xdr:row>4</xdr:row>
                    <xdr:rowOff>152400</xdr:rowOff>
                  </from>
                  <to>
                    <xdr:col>8</xdr:col>
                    <xdr:colOff>990600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print="0" autoFill="0" autoPict="0" macro="[0]!MVT_Image_setpath">
                <anchor moveWithCells="1" sizeWithCells="1">
                  <from>
                    <xdr:col>12</xdr:col>
                    <xdr:colOff>0</xdr:colOff>
                    <xdr:row>11</xdr:row>
                    <xdr:rowOff>95250</xdr:rowOff>
                  </from>
                  <to>
                    <xdr:col>13</xdr:col>
                    <xdr:colOff>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2" r:id="rId7" name="Button 4">
              <controlPr defaultSize="0" print="0" autoFill="0" autoPict="0" macro="[0]!MVT_Image_Load">
                <anchor moveWithCells="1" sizeWithCells="1">
                  <from>
                    <xdr:col>13</xdr:col>
                    <xdr:colOff>742950</xdr:colOff>
                    <xdr:row>6</xdr:row>
                    <xdr:rowOff>19050</xdr:rowOff>
                  </from>
                  <to>
                    <xdr:col>15</xdr:col>
                    <xdr:colOff>752475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3" r:id="rId8" name="Button 5">
              <controlPr defaultSize="0" print="0" autoFill="0" autoPict="0" macro="[0]!MVT_update_diagram_list">
                <anchor moveWithCells="1" sizeWithCells="1">
                  <from>
                    <xdr:col>6</xdr:col>
                    <xdr:colOff>209550</xdr:colOff>
                    <xdr:row>8</xdr:row>
                    <xdr:rowOff>47625</xdr:rowOff>
                  </from>
                  <to>
                    <xdr:col>6</xdr:col>
                    <xdr:colOff>990600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4" r:id="rId9" name="MVT_dropdown_diagrams">
              <controlPr defaultSize="0" autoLine="0" autoPict="0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8</xdr:col>
                    <xdr:colOff>1009650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4">
    <tabColor rgb="FF7D7D7D"/>
  </sheetPr>
  <dimension ref="A1:Q13"/>
  <sheetViews>
    <sheetView workbookViewId="0">
      <selection activeCell="G43" sqref="G43"/>
    </sheetView>
  </sheetViews>
  <sheetFormatPr baseColWidth="10" defaultRowHeight="15" x14ac:dyDescent="0.25"/>
  <cols>
    <col min="1" max="1" width="36.5703125" customWidth="1"/>
    <col min="2" max="2" width="17.140625" customWidth="1"/>
    <col min="3" max="3" width="13.42578125" bestFit="1" customWidth="1"/>
    <col min="5" max="5" width="14.42578125" bestFit="1" customWidth="1"/>
    <col min="7" max="7" width="11.5703125" customWidth="1"/>
    <col min="8" max="8" width="21.28515625" bestFit="1" customWidth="1"/>
    <col min="9" max="9" width="13.7109375" bestFit="1" customWidth="1"/>
    <col min="10" max="11" width="21.28515625" bestFit="1" customWidth="1"/>
    <col min="12" max="12" width="21.28515625" customWidth="1"/>
  </cols>
  <sheetData>
    <row r="1" spans="1:17" ht="34.5" customHeight="1" thickBot="1" x14ac:dyDescent="0.3">
      <c r="A1" s="54" t="s">
        <v>147</v>
      </c>
      <c r="B1" s="55" t="s">
        <v>148</v>
      </c>
      <c r="C1" s="55" t="s">
        <v>149</v>
      </c>
      <c r="D1" s="55" t="s">
        <v>150</v>
      </c>
      <c r="E1" s="55" t="s">
        <v>25</v>
      </c>
      <c r="F1" s="55" t="s">
        <v>151</v>
      </c>
      <c r="G1" s="55" t="s">
        <v>152</v>
      </c>
      <c r="H1" s="55" t="s">
        <v>153</v>
      </c>
      <c r="I1" s="55" t="s">
        <v>154</v>
      </c>
      <c r="J1" s="55" t="s">
        <v>155</v>
      </c>
      <c r="K1" s="55" t="s">
        <v>156</v>
      </c>
      <c r="L1" s="84" t="s">
        <v>275</v>
      </c>
      <c r="M1" s="149"/>
      <c r="N1" s="149"/>
      <c r="O1" s="149"/>
      <c r="P1" s="149"/>
      <c r="Q1" s="150"/>
    </row>
    <row r="2" spans="1:17" x14ac:dyDescent="0.25">
      <c r="A2" t="s">
        <v>157</v>
      </c>
      <c r="B2" t="s">
        <v>158</v>
      </c>
      <c r="C2" s="53"/>
      <c r="D2" s="53"/>
      <c r="E2" s="53"/>
      <c r="F2" s="53"/>
      <c r="G2" s="53"/>
      <c r="H2" s="53"/>
      <c r="I2" s="52"/>
      <c r="J2" s="53"/>
      <c r="K2" s="53"/>
      <c r="L2" s="53"/>
    </row>
    <row r="3" spans="1:17" x14ac:dyDescent="0.25">
      <c r="A3" t="s">
        <v>159</v>
      </c>
      <c r="B3" t="s">
        <v>158</v>
      </c>
      <c r="C3" s="53"/>
      <c r="D3" s="53"/>
      <c r="E3" s="53"/>
      <c r="F3" s="53"/>
      <c r="G3" s="53"/>
      <c r="H3" s="53"/>
      <c r="I3" s="52"/>
      <c r="J3" s="53"/>
      <c r="K3" s="53"/>
      <c r="L3" s="53"/>
    </row>
    <row r="4" spans="1:17" x14ac:dyDescent="0.25">
      <c r="A4" t="s">
        <v>160</v>
      </c>
      <c r="B4" t="s">
        <v>158</v>
      </c>
      <c r="C4" s="53"/>
      <c r="D4" s="53"/>
      <c r="E4" s="53"/>
      <c r="F4" s="53"/>
      <c r="G4" s="53"/>
      <c r="H4" s="53"/>
      <c r="I4" s="52"/>
      <c r="J4" s="53"/>
      <c r="K4" s="53"/>
      <c r="L4" s="53"/>
    </row>
    <row r="5" spans="1:17" x14ac:dyDescent="0.25">
      <c r="A5" t="s">
        <v>205</v>
      </c>
      <c r="B5" t="s">
        <v>158</v>
      </c>
      <c r="C5" s="53"/>
      <c r="D5" s="53"/>
      <c r="E5" s="53"/>
      <c r="F5" s="53"/>
      <c r="G5" s="53"/>
      <c r="H5" s="53"/>
      <c r="I5" s="52"/>
      <c r="J5" s="53"/>
      <c r="K5" s="53"/>
      <c r="L5" s="53"/>
    </row>
    <row r="6" spans="1:17" x14ac:dyDescent="0.25">
      <c r="A6" t="s">
        <v>162</v>
      </c>
      <c r="B6" t="s">
        <v>161</v>
      </c>
      <c r="C6" s="53"/>
      <c r="D6" s="53"/>
      <c r="E6" s="53"/>
      <c r="F6" s="53"/>
      <c r="G6" s="53"/>
      <c r="H6" s="52"/>
      <c r="I6" s="53"/>
      <c r="J6" s="53"/>
      <c r="K6" s="53"/>
      <c r="L6" s="53"/>
    </row>
    <row r="7" spans="1:17" x14ac:dyDescent="0.25">
      <c r="A7" t="s">
        <v>175</v>
      </c>
      <c r="B7" t="s">
        <v>161</v>
      </c>
      <c r="C7" s="53"/>
      <c r="D7" s="53"/>
      <c r="E7" s="53"/>
      <c r="F7" s="53"/>
      <c r="G7" s="53"/>
      <c r="H7" s="52"/>
      <c r="I7" s="53"/>
      <c r="J7" s="53"/>
      <c r="K7" s="53"/>
      <c r="L7" s="53"/>
    </row>
    <row r="8" spans="1:17" x14ac:dyDescent="0.25">
      <c r="A8" t="s">
        <v>204</v>
      </c>
      <c r="B8" t="s">
        <v>161</v>
      </c>
      <c r="C8" s="53"/>
      <c r="D8" s="53"/>
      <c r="E8" s="53"/>
      <c r="F8" s="53"/>
      <c r="G8" s="53"/>
      <c r="H8" s="52"/>
      <c r="I8" s="53"/>
      <c r="J8" s="53"/>
      <c r="K8" s="53"/>
      <c r="L8" s="53"/>
    </row>
    <row r="9" spans="1:17" x14ac:dyDescent="0.25">
      <c r="A9" t="s">
        <v>216</v>
      </c>
      <c r="B9" t="s">
        <v>161</v>
      </c>
      <c r="C9" s="53"/>
      <c r="D9" s="53"/>
      <c r="E9" s="53"/>
      <c r="F9" s="53"/>
      <c r="G9" s="53"/>
      <c r="H9" s="52"/>
      <c r="I9" s="53"/>
      <c r="J9" s="53"/>
      <c r="K9" s="53"/>
      <c r="L9" s="53"/>
    </row>
    <row r="10" spans="1:17" x14ac:dyDescent="0.25">
      <c r="A10" t="s">
        <v>221</v>
      </c>
      <c r="B10" t="s">
        <v>161</v>
      </c>
      <c r="C10" s="53"/>
      <c r="D10" s="53"/>
      <c r="E10" s="53"/>
      <c r="F10" s="53"/>
      <c r="G10" s="53"/>
      <c r="H10" s="52"/>
      <c r="I10" s="53"/>
      <c r="J10" s="53"/>
      <c r="K10" s="53"/>
      <c r="L10" s="53"/>
    </row>
    <row r="11" spans="1:17" x14ac:dyDescent="0.25">
      <c r="A11" t="s">
        <v>209</v>
      </c>
      <c r="B11" t="s">
        <v>161</v>
      </c>
      <c r="C11" s="53"/>
      <c r="D11" s="53"/>
      <c r="E11" s="53"/>
      <c r="F11" s="53"/>
      <c r="G11" s="53"/>
      <c r="H11" s="52"/>
      <c r="I11" s="53"/>
      <c r="J11" s="53"/>
      <c r="K11" s="53"/>
      <c r="L11" s="53"/>
    </row>
    <row r="12" spans="1:17" x14ac:dyDescent="0.25">
      <c r="A12" t="s">
        <v>163</v>
      </c>
      <c r="B12" t="s">
        <v>161</v>
      </c>
      <c r="C12" s="53"/>
      <c r="D12" s="53"/>
      <c r="E12" s="53"/>
      <c r="F12" s="53"/>
      <c r="G12" s="53"/>
      <c r="H12" s="52"/>
      <c r="I12" s="53"/>
      <c r="J12" s="53"/>
      <c r="K12" s="53"/>
      <c r="L12" s="53"/>
    </row>
    <row r="13" spans="1:17" x14ac:dyDescent="0.25">
      <c r="A13" t="s">
        <v>266</v>
      </c>
      <c r="B13" t="s">
        <v>161</v>
      </c>
      <c r="C13" s="53"/>
      <c r="D13" s="53"/>
      <c r="E13" s="53"/>
      <c r="F13" s="53"/>
      <c r="G13" s="53"/>
      <c r="H13" s="52"/>
      <c r="I13" s="53"/>
      <c r="J13" s="53"/>
      <c r="K13" s="53"/>
      <c r="L13" s="53"/>
    </row>
  </sheetData>
  <mergeCells count="1">
    <mergeCell ref="M1:Q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2" r:id="rId3" name="Button 2">
              <controlPr defaultSize="0" print="0" autoFill="0" autoPict="0" macro="[0]!UPD_create_overview">
                <anchor moveWithCells="1" sizeWithCells="1">
                  <from>
                    <xdr:col>12</xdr:col>
                    <xdr:colOff>390525</xdr:colOff>
                    <xdr:row>0</xdr:row>
                    <xdr:rowOff>57150</xdr:rowOff>
                  </from>
                  <to>
                    <xdr:col>16</xdr:col>
                    <xdr:colOff>581025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A327A-132A-4638-9E2B-A7571CE579EF}">
  <sheetPr codeName="Tabelle39">
    <tabColor rgb="FF7D7D7D"/>
  </sheetPr>
  <dimension ref="A1:F47"/>
  <sheetViews>
    <sheetView zoomScaleNormal="100" workbookViewId="0">
      <selection activeCell="J19" sqref="J19"/>
    </sheetView>
  </sheetViews>
  <sheetFormatPr baseColWidth="10" defaultRowHeight="15" x14ac:dyDescent="0.25"/>
  <cols>
    <col min="1" max="1" width="26.5703125" bestFit="1" customWidth="1"/>
    <col min="2" max="2" width="13.5703125" bestFit="1" customWidth="1"/>
    <col min="3" max="3" width="23.28515625" bestFit="1" customWidth="1"/>
    <col min="4" max="4" width="16.85546875" bestFit="1" customWidth="1"/>
    <col min="5" max="5" width="12.42578125" bestFit="1" customWidth="1"/>
    <col min="6" max="6" width="13.85546875" bestFit="1" customWidth="1"/>
  </cols>
  <sheetData>
    <row r="1" spans="1:6" s="152" customFormat="1" x14ac:dyDescent="0.25">
      <c r="A1" s="151" t="s">
        <v>267</v>
      </c>
    </row>
    <row r="2" spans="1:6" s="152" customFormat="1" x14ac:dyDescent="0.25"/>
    <row r="5" spans="1:6" x14ac:dyDescent="0.25">
      <c r="B5" s="44" t="s">
        <v>271</v>
      </c>
      <c r="C5" s="44" t="s">
        <v>272</v>
      </c>
    </row>
    <row r="6" spans="1:6" x14ac:dyDescent="0.25">
      <c r="A6" s="44" t="s">
        <v>268</v>
      </c>
      <c r="B6" t="s">
        <v>263</v>
      </c>
      <c r="C6" t="s">
        <v>263</v>
      </c>
    </row>
    <row r="7" spans="1:6" x14ac:dyDescent="0.25">
      <c r="A7" s="44" t="s">
        <v>269</v>
      </c>
      <c r="B7" t="s">
        <v>273</v>
      </c>
      <c r="C7" t="s">
        <v>274</v>
      </c>
    </row>
    <row r="8" spans="1:6" x14ac:dyDescent="0.25">
      <c r="A8" s="44" t="s">
        <v>270</v>
      </c>
      <c r="B8" t="s">
        <v>263</v>
      </c>
      <c r="C8" t="s">
        <v>263</v>
      </c>
    </row>
    <row r="9" spans="1:6" x14ac:dyDescent="0.25">
      <c r="A9" s="44" t="s">
        <v>276</v>
      </c>
      <c r="B9" t="s">
        <v>277</v>
      </c>
    </row>
    <row r="11" spans="1:6" x14ac:dyDescent="0.25">
      <c r="B11" t="s">
        <v>278</v>
      </c>
      <c r="C11" t="s">
        <v>279</v>
      </c>
      <c r="D11" t="s">
        <v>280</v>
      </c>
      <c r="E11" t="s">
        <v>281</v>
      </c>
      <c r="F11" t="s">
        <v>291</v>
      </c>
    </row>
    <row r="12" spans="1:6" x14ac:dyDescent="0.25">
      <c r="A12" t="s">
        <v>246</v>
      </c>
      <c r="B12">
        <v>3.5622401999999998E-5</v>
      </c>
      <c r="E12">
        <v>3.5622401999999998E-5</v>
      </c>
    </row>
    <row r="13" spans="1:6" x14ac:dyDescent="0.25">
      <c r="A13" t="s">
        <v>247</v>
      </c>
      <c r="B13">
        <v>3.1957444E-5</v>
      </c>
      <c r="E13">
        <v>3.1957444E-5</v>
      </c>
    </row>
    <row r="14" spans="1:6" x14ac:dyDescent="0.25">
      <c r="A14" t="s">
        <v>248</v>
      </c>
      <c r="B14">
        <v>3.5122359000000002E-5</v>
      </c>
      <c r="E14">
        <v>3.5122359000000002E-5</v>
      </c>
    </row>
    <row r="15" spans="1:6" x14ac:dyDescent="0.25">
      <c r="A15" t="s">
        <v>249</v>
      </c>
      <c r="B15">
        <v>4.6914377999999999E-5</v>
      </c>
      <c r="E15">
        <v>4.6914377999999999E-5</v>
      </c>
    </row>
    <row r="16" spans="1:6" x14ac:dyDescent="0.25">
      <c r="A16" t="s">
        <v>250</v>
      </c>
      <c r="B16">
        <v>4.6205772999999997E-5</v>
      </c>
      <c r="E16">
        <v>4.6205772999999997E-5</v>
      </c>
    </row>
    <row r="17" spans="1:5" x14ac:dyDescent="0.25">
      <c r="A17" t="s">
        <v>251</v>
      </c>
      <c r="B17">
        <v>4.4594863000000001E-5</v>
      </c>
      <c r="E17">
        <v>4.4594863000000001E-5</v>
      </c>
    </row>
    <row r="18" spans="1:5" x14ac:dyDescent="0.25">
      <c r="A18" t="s">
        <v>252</v>
      </c>
      <c r="B18">
        <v>3.5969200999999997E-5</v>
      </c>
      <c r="E18">
        <v>3.5969200999999997E-5</v>
      </c>
    </row>
    <row r="19" spans="1:5" x14ac:dyDescent="0.25">
      <c r="A19" t="s">
        <v>253</v>
      </c>
      <c r="B19">
        <v>3.9104611999999998E-5</v>
      </c>
      <c r="E19">
        <v>3.9104611999999998E-5</v>
      </c>
    </row>
    <row r="20" spans="1:5" x14ac:dyDescent="0.25">
      <c r="A20" t="s">
        <v>254</v>
      </c>
      <c r="B20">
        <v>2.9274500999999998E-5</v>
      </c>
      <c r="E20">
        <v>2.9274500999999998E-5</v>
      </c>
    </row>
    <row r="21" spans="1:5" x14ac:dyDescent="0.25">
      <c r="A21" t="s">
        <v>228</v>
      </c>
      <c r="C21">
        <v>6.9076900000000004E-4</v>
      </c>
      <c r="D21">
        <v>2591.6220952632652</v>
      </c>
      <c r="E21">
        <v>1.16329E-7</v>
      </c>
    </row>
    <row r="22" spans="1:5" x14ac:dyDescent="0.25">
      <c r="A22" t="s">
        <v>230</v>
      </c>
      <c r="C22">
        <v>2.22847E-4</v>
      </c>
      <c r="D22">
        <v>835.8475723952406</v>
      </c>
      <c r="E22">
        <v>1.65062E-7</v>
      </c>
    </row>
    <row r="23" spans="1:5" x14ac:dyDescent="0.25">
      <c r="A23" t="s">
        <v>232</v>
      </c>
      <c r="C23">
        <v>2.7896699999999997E-4</v>
      </c>
      <c r="D23">
        <v>1046.5696971496238</v>
      </c>
      <c r="E23">
        <v>1.73394E-7</v>
      </c>
    </row>
    <row r="24" spans="1:5" x14ac:dyDescent="0.25">
      <c r="A24" t="s">
        <v>234</v>
      </c>
      <c r="C24">
        <v>1.3466699999999999E-3</v>
      </c>
      <c r="D24">
        <v>5054.4473554033366</v>
      </c>
      <c r="E24">
        <v>5.7286799999999998E-8</v>
      </c>
    </row>
    <row r="25" spans="1:5" x14ac:dyDescent="0.25">
      <c r="A25" t="s">
        <v>236</v>
      </c>
      <c r="C25">
        <v>1.2476799999999999E-3</v>
      </c>
      <c r="D25">
        <v>4682.5491817435168</v>
      </c>
      <c r="E25">
        <v>8.1248000000000001E-8</v>
      </c>
    </row>
    <row r="26" spans="1:5" x14ac:dyDescent="0.25">
      <c r="A26" t="s">
        <v>238</v>
      </c>
      <c r="C26">
        <v>1.0254000000000001E-3</v>
      </c>
      <c r="D26">
        <v>3848.2988356880687</v>
      </c>
      <c r="E26">
        <v>1.32194E-7</v>
      </c>
    </row>
    <row r="27" spans="1:5" x14ac:dyDescent="0.25">
      <c r="A27" t="s">
        <v>240</v>
      </c>
      <c r="C27">
        <v>4.7072999999999999E-4</v>
      </c>
      <c r="D27">
        <v>1766.0695648323515</v>
      </c>
      <c r="E27">
        <v>1.0437400000000001E-7</v>
      </c>
    </row>
    <row r="28" spans="1:5" x14ac:dyDescent="0.25">
      <c r="A28" t="s">
        <v>242</v>
      </c>
      <c r="C28">
        <v>7.3670699999999997E-4</v>
      </c>
      <c r="D28">
        <v>2764.156239550884</v>
      </c>
      <c r="E28">
        <v>1.2142799999999999E-7</v>
      </c>
    </row>
    <row r="29" spans="1:5" x14ac:dyDescent="0.25">
      <c r="A29" t="s">
        <v>244</v>
      </c>
      <c r="C29">
        <v>3.0192400000000002E-4</v>
      </c>
      <c r="D29">
        <v>1132.7425230671688</v>
      </c>
      <c r="E29">
        <v>2.4742500000000001E-7</v>
      </c>
    </row>
    <row r="30" spans="1:5" x14ac:dyDescent="0.25">
      <c r="A30" t="s">
        <v>229</v>
      </c>
      <c r="B30">
        <v>3.0653133999999999E-5</v>
      </c>
      <c r="E30">
        <v>3.0653133999999999E-5</v>
      </c>
    </row>
    <row r="31" spans="1:5" x14ac:dyDescent="0.25">
      <c r="A31" t="s">
        <v>231</v>
      </c>
      <c r="B31">
        <v>2.8977952000000001E-5</v>
      </c>
      <c r="E31">
        <v>2.8977952000000001E-5</v>
      </c>
    </row>
    <row r="32" spans="1:5" x14ac:dyDescent="0.25">
      <c r="A32" t="s">
        <v>233</v>
      </c>
      <c r="B32">
        <v>2.7131209E-5</v>
      </c>
      <c r="E32">
        <v>2.7131209E-5</v>
      </c>
    </row>
    <row r="33" spans="1:5" x14ac:dyDescent="0.25">
      <c r="A33" t="s">
        <v>235</v>
      </c>
      <c r="B33">
        <v>2.7964761E-5</v>
      </c>
      <c r="E33">
        <v>2.7964761E-5</v>
      </c>
    </row>
    <row r="34" spans="1:5" x14ac:dyDescent="0.25">
      <c r="A34" t="s">
        <v>237</v>
      </c>
      <c r="B34">
        <v>2.7014785E-5</v>
      </c>
      <c r="E34">
        <v>2.7014785E-5</v>
      </c>
    </row>
    <row r="35" spans="1:5" x14ac:dyDescent="0.25">
      <c r="A35" t="s">
        <v>239</v>
      </c>
      <c r="B35">
        <v>2.5718366000000001E-5</v>
      </c>
      <c r="E35">
        <v>2.5718366000000001E-5</v>
      </c>
    </row>
    <row r="36" spans="1:5" x14ac:dyDescent="0.25">
      <c r="A36" t="s">
        <v>241</v>
      </c>
      <c r="B36">
        <v>3.3032793999999997E-5</v>
      </c>
      <c r="E36">
        <v>3.3032793999999997E-5</v>
      </c>
    </row>
    <row r="37" spans="1:5" x14ac:dyDescent="0.25">
      <c r="A37" t="s">
        <v>243</v>
      </c>
      <c r="B37">
        <v>2.6438686E-5</v>
      </c>
      <c r="E37">
        <v>2.6438686E-5</v>
      </c>
    </row>
    <row r="38" spans="1:5" x14ac:dyDescent="0.25">
      <c r="A38" t="s">
        <v>245</v>
      </c>
      <c r="B38">
        <v>3.7489220999999998E-5</v>
      </c>
      <c r="E38">
        <v>3.7489220999999998E-5</v>
      </c>
    </row>
    <row r="39" spans="1:5" x14ac:dyDescent="0.25">
      <c r="A39" t="s">
        <v>282</v>
      </c>
      <c r="D39">
        <v>267.65199999999999</v>
      </c>
    </row>
    <row r="40" spans="1:5" x14ac:dyDescent="0.25">
      <c r="A40" t="s">
        <v>283</v>
      </c>
      <c r="D40">
        <v>783.03700000000003</v>
      </c>
    </row>
    <row r="41" spans="1:5" x14ac:dyDescent="0.25">
      <c r="A41" t="s">
        <v>285</v>
      </c>
      <c r="D41">
        <v>622.95299999999997</v>
      </c>
    </row>
    <row r="42" spans="1:5" x14ac:dyDescent="0.25">
      <c r="A42" t="s">
        <v>284</v>
      </c>
      <c r="D42">
        <v>319.995</v>
      </c>
    </row>
    <row r="43" spans="1:5" x14ac:dyDescent="0.25">
      <c r="A43" t="s">
        <v>286</v>
      </c>
      <c r="D43">
        <v>497.702</v>
      </c>
    </row>
    <row r="44" spans="1:5" x14ac:dyDescent="0.25">
      <c r="A44" t="s">
        <v>287</v>
      </c>
      <c r="D44">
        <v>372.15300000000002</v>
      </c>
    </row>
    <row r="45" spans="1:5" x14ac:dyDescent="0.25">
      <c r="A45" t="s">
        <v>288</v>
      </c>
      <c r="D45">
        <v>430.65600000000001</v>
      </c>
    </row>
    <row r="46" spans="1:5" x14ac:dyDescent="0.25">
      <c r="A46" t="s">
        <v>289</v>
      </c>
      <c r="D46">
        <v>373.71499999999997</v>
      </c>
    </row>
    <row r="47" spans="1:5" x14ac:dyDescent="0.25">
      <c r="A47" t="s">
        <v>290</v>
      </c>
      <c r="D47">
        <v>369.35500000000002</v>
      </c>
    </row>
  </sheetData>
  <dataConsolidate/>
  <mergeCells count="1">
    <mergeCell ref="A1:XFD2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4" name="DIP_SDM_file">
              <controlPr defaultSize="0" print="0" autoFill="0" autoPict="0" macro="[0]!DIP_input_selector">
                <anchor moveWithCells="1" sizeWithCells="1">
                  <from>
                    <xdr:col>3</xdr:col>
                    <xdr:colOff>1114425</xdr:colOff>
                    <xdr:row>3</xdr:row>
                    <xdr:rowOff>9525</xdr:rowOff>
                  </from>
                  <to>
                    <xdr:col>6</xdr:col>
                    <xdr:colOff>742950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0" r:id="rId5" name="DIP_SDM_folder">
              <controlPr defaultSize="0" print="0" autoFill="0" autoPict="0" macro="[0]!DIP_input_selector">
                <anchor moveWithCells="1" sizeWithCells="1">
                  <from>
                    <xdr:col>3</xdr:col>
                    <xdr:colOff>1114425</xdr:colOff>
                    <xdr:row>5</xdr:row>
                    <xdr:rowOff>19050</xdr:rowOff>
                  </from>
                  <to>
                    <xdr:col>6</xdr:col>
                    <xdr:colOff>742950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1" r:id="rId6" name="DIP_SDM_folder_multiselect">
              <controlPr defaultSize="0" print="0" autoFill="0" autoPict="0" macro="[0]!DIP_input_selector">
                <anchor moveWithCells="1" sizeWithCells="1">
                  <from>
                    <xdr:col>3</xdr:col>
                    <xdr:colOff>1114425</xdr:colOff>
                    <xdr:row>7</xdr:row>
                    <xdr:rowOff>9525</xdr:rowOff>
                  </from>
                  <to>
                    <xdr:col>6</xdr:col>
                    <xdr:colOff>742950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7</vt:i4>
      </vt:variant>
    </vt:vector>
  </HeadingPairs>
  <TitlesOfParts>
    <vt:vector size="19" baseType="lpstr">
      <vt:lpstr>TMP_MV</vt:lpstr>
      <vt:lpstr>TMP_MV_IMLINK</vt:lpstr>
      <vt:lpstr>TMP_Inputs</vt:lpstr>
      <vt:lpstr>TMP_Diagram_Layout</vt:lpstr>
      <vt:lpstr>CTL_ROI</vt:lpstr>
      <vt:lpstr>CTL_Data_ReadIn</vt:lpstr>
      <vt:lpstr>CTL_Diagrams</vt:lpstr>
      <vt:lpstr>CTL_Fastplot</vt:lpstr>
      <vt:lpstr>CTL_Multiview_IMLINK</vt:lpstr>
      <vt:lpstr>CTL_Multiview</vt:lpstr>
      <vt:lpstr>CTL_Sheet_Overview</vt:lpstr>
      <vt:lpstr>CTL_Emissions</vt:lpstr>
      <vt:lpstr>DIP_cora_version</vt:lpstr>
      <vt:lpstr>DIP_crank_angle_correction</vt:lpstr>
      <vt:lpstr>DIP_pressure_unit</vt:lpstr>
      <vt:lpstr>pre_roi_detection_margin</vt:lpstr>
      <vt:lpstr>pre_roi_massflow_column</vt:lpstr>
      <vt:lpstr>pre_roi_smoothing_margin</vt:lpstr>
      <vt:lpstr>pre_roi_time_column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Eder Lucas</dc:creator>
  <cp:lastModifiedBy>Lackner Marcel</cp:lastModifiedBy>
  <cp:lastPrinted>2016-10-31T08:12:32Z</cp:lastPrinted>
  <dcterms:created xsi:type="dcterms:W3CDTF">2016-02-18T10:01:24Z</dcterms:created>
  <dcterms:modified xsi:type="dcterms:W3CDTF">2018-05-03T08:43:25Z</dcterms:modified>
</cp:coreProperties>
</file>