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7.xml" ContentType="application/vnd.openxmlformats-officedocument.drawing+xml"/>
  <Override PartName="/xl/ctrlProps/ctrlProp36.xml" ContentType="application/vnd.ms-excel.controlproperties+xml"/>
  <Override PartName="/xl/drawings/drawing8.xml" ContentType="application/vnd.openxmlformats-officedocument.drawing+xml"/>
  <Override PartName="/xl/queryTables/queryTable1.xml" ContentType="application/vnd.openxmlformats-officedocument.spreadsheetml.queryTable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I:\marcellackner\LEC\07_X1T1_WP3_Reactive_Spray\2018_03_06_RS_DC_Sc09_Chalmers_mech_v2_4_Knoten_Multizonemodel_off_4ms_Pinj_800_var_Duesenlochdm_Tropfenspektrum\"/>
    </mc:Choice>
  </mc:AlternateContent>
  <bookViews>
    <workbookView xWindow="12090" yWindow="255" windowWidth="16605" windowHeight="13215" firstSheet="4" activeTab="11"/>
  </bookViews>
  <sheets>
    <sheet name="TMP_MV" sheetId="24" state="hidden" r:id="rId1"/>
    <sheet name="TMP_MV_IMLINK" sheetId="26" state="hidden" r:id="rId2"/>
    <sheet name="TMP_Inputs" sheetId="38" state="hidden" r:id="rId3"/>
    <sheet name="TMP_Diagram_Layout" sheetId="413" state="hidden" r:id="rId4"/>
    <sheet name="CTL_ROI" sheetId="183" r:id="rId5"/>
    <sheet name="CTL_Data_ReadIn" sheetId="28" r:id="rId6"/>
    <sheet name="CTL_Diagrams" sheetId="1" r:id="rId7"/>
    <sheet name="CTL_Fastplot" sheetId="442" r:id="rId8"/>
    <sheet name="CTL_Multiview" sheetId="458" r:id="rId9"/>
    <sheet name="CTL_Multiview_IMLINK" sheetId="459" state="hidden" r:id="rId10"/>
    <sheet name="CTL_Sheet_Overview" sheetId="194" r:id="rId11"/>
    <sheet name="ROI_ROI_Pinj_800_bar" sheetId="464" r:id="rId12"/>
  </sheets>
  <functionGroups builtInGroupCount="19"/>
  <externalReferences>
    <externalReference r:id="rId13"/>
  </externalReferences>
  <definedNames>
    <definedName name="Chart_1" localSheetId="8">CTL_Diagrams!#REF!</definedName>
    <definedName name="Chart_1" localSheetId="9">CTL_Diagrams!#REF!</definedName>
    <definedName name="Chart_1">CTL_Diagrams!#REF!</definedName>
    <definedName name="cora_input_path" localSheetId="8">#REF!</definedName>
    <definedName name="cora_input_path" localSheetId="9">#REF!</definedName>
    <definedName name="cora_input_path">#REF!</definedName>
    <definedName name="cora_version" localSheetId="8">#REF!</definedName>
    <definedName name="cora_version" localSheetId="9">#REF!</definedName>
    <definedName name="cora_version">#REF!</definedName>
    <definedName name="correction_ca" localSheetId="8">#REF!</definedName>
    <definedName name="correction_ca" localSheetId="9">#REF!</definedName>
    <definedName name="correction_ca">#REF!</definedName>
    <definedName name="DIP_cora_version">CTL_Data_ReadIn!$F$6</definedName>
    <definedName name="DIP_crank_angle_correction">CTL_Data_ReadIn!$F$5</definedName>
    <definedName name="DIP_pressure_unit">CTL_Data_ReadIn!$F$4</definedName>
    <definedName name="image_folder" localSheetId="8">CTL_Multiview!#REF!</definedName>
    <definedName name="image_folder" localSheetId="9">TMP_MV!#REF!</definedName>
    <definedName name="image_folder">TMP_MV!#REF!</definedName>
    <definedName name="Img_Add_SetName">[1]Img_Setup!$D$3</definedName>
    <definedName name="inp_x_axis_unit" localSheetId="8">#REF!</definedName>
    <definedName name="inp_x_axis_unit" localSheetId="9">#REF!</definedName>
    <definedName name="inp_x_axis_unit">#REF!</definedName>
    <definedName name="max_crank_angle" localSheetId="8">#REF!</definedName>
    <definedName name="max_crank_angle" localSheetId="9">#REF!</definedName>
    <definedName name="max_crank_angle">#REF!</definedName>
    <definedName name="min_crank_angle" localSheetId="8">#REF!</definedName>
    <definedName name="min_crank_angle" localSheetId="9">#REF!</definedName>
    <definedName name="min_crank_angle">#REF!</definedName>
    <definedName name="out_exp_name" localSheetId="8">#REF!</definedName>
    <definedName name="out_exp_name" localSheetId="9">#REF!</definedName>
    <definedName name="out_exp_name">#REF!</definedName>
    <definedName name="out_fire_" localSheetId="8">Z5S2</definedName>
    <definedName name="out_fire_" localSheetId="9">Z5S2</definedName>
    <definedName name="out_fire_">Z5S2</definedName>
    <definedName name="out_fire_name" localSheetId="8">#REF!</definedName>
    <definedName name="out_fire_name" localSheetId="9">#REF!</definedName>
    <definedName name="out_fire_name">#REF!</definedName>
    <definedName name="out_fire_path" localSheetId="8">#REF!</definedName>
    <definedName name="out_fire_path" localSheetId="9">#REF!</definedName>
    <definedName name="out_fire_path">#REF!</definedName>
    <definedName name="PATH_FIRE_Output" localSheetId="8">Z5S2</definedName>
    <definedName name="PATH_FIRE_Output" localSheetId="9">Z5S2</definedName>
    <definedName name="PATH_FIRE_Output">Z5S2</definedName>
    <definedName name="plot_input" localSheetId="8">#REF!</definedName>
    <definedName name="plot_input" localSheetId="9">#REF!</definedName>
    <definedName name="plot_input">#REF!</definedName>
    <definedName name="pre_roi_detection_margin">CTL_ROI!$B$6</definedName>
    <definedName name="pre_roi_massflow_column">CTL_ROI!$B$5</definedName>
    <definedName name="pre_roi_smoothing_margin">CTL_ROI!$B$7</definedName>
    <definedName name="pre_roi_time_column">CTL_ROI!$B$4</definedName>
    <definedName name="ROI_ROI_Pinj_800_bar" localSheetId="11">ROI_ROI_Pinj_800_bar!$A$1:$B$1000</definedName>
    <definedName name="ROIC_Pi1000_Pb060_ET_565" localSheetId="8">#REF!</definedName>
    <definedName name="ROIC_Pi1000_Pb060_ET_565" localSheetId="0">#REF!</definedName>
  </definedNames>
  <calcPr calcId="162913"/>
</workbook>
</file>

<file path=xl/calcChain.xml><?xml version="1.0" encoding="utf-8"?>
<calcChain xmlns="http://schemas.openxmlformats.org/spreadsheetml/2006/main">
  <c r="D12" i="458" l="1"/>
  <c r="C12" i="458"/>
  <c r="C13" i="458" l="1"/>
  <c r="D12" i="24" l="1"/>
  <c r="C12" i="24"/>
  <c r="C13" i="24" l="1"/>
</calcChain>
</file>

<file path=xl/connections.xml><?xml version="1.0" encoding="utf-8"?>
<connections xmlns="http://schemas.openxmlformats.org/spreadsheetml/2006/main">
  <connection id="1" name="ANALYSIS" type="6" refreshedVersion="0" background="1">
    <textPr prompt="0" sourceFile="C:\Users\lucaseder\Desktop\ToDo\Excel_new\Postprocess\CORA_ANY_FIR_M011_1_fl2\ANALYSIS.OUT" thousands=" ">
      <textFields>
        <textField/>
      </textFields>
    </textPr>
  </connection>
  <connection id="2" name="ANALYSIS1" type="6" refreshedVersion="0" background="1">
    <textPr prompt="0" sourceFile="C:\Users\lucaseder\Desktop\ToDo\Excel_new\Postprocess\CORA_ANY_FIR_M011_1_fl2\ANALYSIS.OUT" thousands=" ">
      <textFields>
        <textField/>
      </textFields>
    </textPr>
  </connection>
  <connection id="3" name="ANALYSIS14" type="6" refreshedVersion="0" background="1">
    <textPr prompt="0" sourceFile="C:\Users\lucaseder\Desktop\Analysis_187_1\Postprocess\CORA_ANY_FIR_M011_3_fl2\ANALYSIS.OUT" thousands=" ">
      <textFields>
        <textField/>
      </textFields>
    </textPr>
  </connection>
  <connection id="4" name="ANALYSIS2" type="6" refreshedVersion="0" background="1">
    <textPr prompt="0" sourceFile="C:\Users\lucaseder\Desktop\ToDo\Excel_new\Postprocess\CORA_ANY_FIR_M011_1_fl2\ANALYSIS.OUT" thousands=" ">
      <textFields>
        <textField/>
      </textFields>
    </textPr>
  </connection>
  <connection id="5" name="ANALYSIS3" type="6" refreshedVersion="0" background="1">
    <textPr prompt="0" sourceFile="C:\Users\lucaseder\Desktop\Analysis_187_1\Postprocess\CORA_ANY_FIR_M011_2_fl2\ANALYSIS.OUT" thousands=" ">
      <textFields>
        <textField/>
      </textFields>
    </textPr>
  </connection>
  <connection id="6" name="extract" type="6" refreshedVersion="0" background="1">
    <textPr prompt="0" sourceFile="I:\marcellackner\Masterarbeit\01_Spray_box_4_hole_0935\2017_03_08_Spray_Box_Rework_SMD_60_Auswertung\Results_extract\extract.log" decimal="," thousands=".">
      <textFields>
        <textField/>
      </textFields>
    </textPr>
  </connection>
  <connection id="7" name="ROI" type="6" refreshedVersion="4" background="1">
    <textPr codePage="850" sourceFile="I:\marcellackner\Masterarbeit\02_Spray_box_7_hole_1065\2017_04_12_SB_7h_bl_mod_dmin_Cd\Injection_setup\ROI.txt" decimal="," thousands="." tab="0" space="1" consecutive="1">
      <textFields count="2">
        <textField/>
        <textField/>
      </textFields>
    </textPr>
  </connection>
  <connection id="8" name="ROI_Pinj_800_bar" type="6" refreshedVersion="6" background="1" saveData="1">
    <textPr prompt="0" codePage="850" sourceFile="I:\marcellackner\LEC\07_X1T1_WP3_Reactive_Spray\2018_03_06_RS_DC_Sc09_Chalmers_mech_v2_4_Knoten_Multizonemodel_off_4ms_Pinj_800_var_Duesenlochdm_Tropfenspektrum\ROI_Pinj_800_bar\ROI_Pinj_800_bar.txt" decimal="," thousands=".">
      <textFields>
        <textField/>
      </textFields>
    </textPr>
  </connection>
  <connection id="9" name="ROI_RAW" type="6" refreshedVersion="4" background="1">
    <textPr prompt="0" codePage="850" sourceFile="I:\marcellackner\Masterarbeit\02_Spray_box_7_hole_1065\2017_04_12_SB_7h_bl_mod_dmin_Cd\Injection_setup\Input\ROI_RAW.txt">
      <textFields>
        <textField/>
      </textFields>
    </textPr>
  </connection>
  <connection id="10" name="Verbindung" type="6" refreshedVersion="0" background="1">
    <textPr prompt="0" sourceFile="I:\marcellackner\Masterarbeit\02_Spray_box_7_hole_1065\2017_03_20_Spraybox_7hole_comb_module\Results_extract\2D_fl2_results\.directory" decimal="," thousands=".">
      <textFields>
        <textField/>
      </textFields>
    </textPr>
  </connection>
  <connection id="11" name="Verbindung1" type="6" refreshedVersion="0" background="1">
    <textPr prompt="0" sourceFile="I:\marcellackner\Masterarbeit\02_Spray_box_7_hole_1065\2017_04_04_SB_7h_MEGAVARIATION_RAW_ROI\2D_fl2_results\.directory" decimal="," thousands=".">
      <textFields>
        <textField/>
      </textFields>
    </textPr>
  </connection>
  <connection id="12" name="Verbindung2" type="6" refreshedVersion="0" background="1">
    <textPr prompt="0" sourceFile="I:\marcellackner\Masterarbeit\02_Spray_box_7_hole_1065\2017_04_13_SB_7h_mod_E1E2_dzero\2D_fl2_results\.directory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<sst xmlns="http://schemas.openxmlformats.org/spreadsheetml/2006/main" count="572" uniqueCount="342">
  <si>
    <t>v0.4.2-13</t>
  </si>
  <si>
    <t>Unit</t>
  </si>
  <si>
    <t>CONTROL AREA</t>
  </si>
  <si>
    <t>SLIDER CONTROL</t>
  </si>
  <si>
    <t>2D DATA CONTROL</t>
  </si>
  <si>
    <t>IMAGE CONTROL</t>
  </si>
  <si>
    <t>Min. slider value</t>
  </si>
  <si>
    <t>[integer]</t>
  </si>
  <si>
    <t>Current Folder:</t>
  </si>
  <si>
    <t>Max. slider value</t>
  </si>
  <si>
    <t>Image Names</t>
  </si>
  <si>
    <t>Offset to slider</t>
  </si>
  <si>
    <t>stepsize</t>
  </si>
  <si>
    <t>Format</t>
  </si>
  <si>
    <t>Current slider status</t>
  </si>
  <si>
    <t>IMAGE COMPARISON</t>
  </si>
  <si>
    <t>Number</t>
  </si>
  <si>
    <t>Current running variable</t>
  </si>
  <si>
    <t>Search folder</t>
  </si>
  <si>
    <t>Search file</t>
  </si>
  <si>
    <t>Extension</t>
  </si>
  <si>
    <t>Offset</t>
  </si>
  <si>
    <t>.png</t>
  </si>
  <si>
    <t>Divisor</t>
  </si>
  <si>
    <t>Pascal</t>
  </si>
  <si>
    <t>Quality Check</t>
  </si>
  <si>
    <t>Rate of heat release</t>
  </si>
  <si>
    <t>B</t>
  </si>
  <si>
    <t>[double]</t>
  </si>
  <si>
    <t>FIRE Inputs Overview</t>
  </si>
  <si>
    <t>Operating Point</t>
  </si>
  <si>
    <t>Input Files Comment</t>
  </si>
  <si>
    <t>FIRE version</t>
  </si>
  <si>
    <t>CORA Experimental Results</t>
  </si>
  <si>
    <t>Date of generation</t>
  </si>
  <si>
    <t>Author</t>
  </si>
  <si>
    <t>Input parameter</t>
  </si>
  <si>
    <t>FIRE SSF Section</t>
  </si>
  <si>
    <t>FIRE Variable</t>
  </si>
  <si>
    <t>Value</t>
  </si>
  <si>
    <t>Source</t>
  </si>
  <si>
    <t>Comment</t>
  </si>
  <si>
    <t>Mesh file</t>
  </si>
  <si>
    <t>-</t>
  </si>
  <si>
    <t>deg</t>
  </si>
  <si>
    <t>LEC SCE190 DF Measurements Sept. 2014</t>
  </si>
  <si>
    <t>Nozzle A 433 209 580 (6 holes x 140 deg x 310 ml/30 sec)</t>
  </si>
  <si>
    <t>m</t>
  </si>
  <si>
    <t>Wall Temperatures</t>
  </si>
  <si>
    <t>Head</t>
  </si>
  <si>
    <t>Boundary conditions</t>
  </si>
  <si>
    <t>Temperature</t>
  </si>
  <si>
    <t>K</t>
  </si>
  <si>
    <t>CORA Analysis of 2014 LEC Measurements</t>
  </si>
  <si>
    <t>Piston</t>
  </si>
  <si>
    <t>Liner</t>
  </si>
  <si>
    <t>Engine Data</t>
  </si>
  <si>
    <t>Bore</t>
  </si>
  <si>
    <t>Stroke</t>
  </si>
  <si>
    <t>Conrod length</t>
  </si>
  <si>
    <t>Engine speed</t>
  </si>
  <si>
    <t>Run Mode</t>
  </si>
  <si>
    <t>Engine Speed</t>
  </si>
  <si>
    <t>rpm</t>
  </si>
  <si>
    <t>IVC (start of calculation)</t>
  </si>
  <si>
    <t>Start Angle (+720!)</t>
  </si>
  <si>
    <t>deg CA</t>
  </si>
  <si>
    <t>Miller 35</t>
  </si>
  <si>
    <t>EVO (end of calculation)</t>
  </si>
  <si>
    <t>End Angle (+720!)</t>
  </si>
  <si>
    <t>Gas condition at IVC</t>
  </si>
  <si>
    <t>Pressure</t>
  </si>
  <si>
    <t>Initial Conditions</t>
  </si>
  <si>
    <t>Pa</t>
  </si>
  <si>
    <t>Initial value comes from CORA PMOT</t>
  </si>
  <si>
    <t>Initial value comes from CORA TGASMOT</t>
  </si>
  <si>
    <t>Turbulent kinetic energy</t>
  </si>
  <si>
    <t>Turb. kin. energy</t>
  </si>
  <si>
    <t>m²/s²</t>
  </si>
  <si>
    <t>Assumption</t>
  </si>
  <si>
    <t>Calculated with AVL initialization method</t>
  </si>
  <si>
    <t>Turbulent length scale</t>
  </si>
  <si>
    <t>Turb. length scale</t>
  </si>
  <si>
    <t>Swirl</t>
  </si>
  <si>
    <t>Swirl/Tumble</t>
  </si>
  <si>
    <t>Gas composition at IVC</t>
  </si>
  <si>
    <t>Mass fraction O2</t>
  </si>
  <si>
    <t>Initial values of species</t>
  </si>
  <si>
    <t>Mass fraction N2</t>
  </si>
  <si>
    <t>Mass fraction CO2</t>
  </si>
  <si>
    <t>Mass fraction H2O</t>
  </si>
  <si>
    <t>Mass fraction CH4</t>
  </si>
  <si>
    <t>Mass fraction C2H6</t>
  </si>
  <si>
    <t>Injection/Spray</t>
  </si>
  <si>
    <t>Start of injection</t>
  </si>
  <si>
    <t>Spray</t>
  </si>
  <si>
    <t>Inj. timing start</t>
  </si>
  <si>
    <t>LEC DDFM Measurements</t>
  </si>
  <si>
    <t>End of injection</t>
  </si>
  <si>
    <t>Inj. timing stop</t>
  </si>
  <si>
    <t>Injection duration</t>
  </si>
  <si>
    <t>µs</t>
  </si>
  <si>
    <t>Injected mass (full cylinder)</t>
  </si>
  <si>
    <t>kg</t>
  </si>
  <si>
    <t>Injected mass (sector)</t>
  </si>
  <si>
    <t>Mass in comp. domain</t>
  </si>
  <si>
    <t>Measured mass divided by number of holes</t>
  </si>
  <si>
    <t>Fuel temperature</t>
  </si>
  <si>
    <t>Fluid temperature</t>
  </si>
  <si>
    <t>Past measurements show fuel temp in the range of 40 - 45 °C</t>
  </si>
  <si>
    <t>Rate of injection curve</t>
  </si>
  <si>
    <t>Injection rate</t>
  </si>
  <si>
    <t>ROI curve in separate table</t>
  </si>
  <si>
    <t>Nozzle hole distance from fire deck</t>
  </si>
  <si>
    <t>Z-coordinate</t>
  </si>
  <si>
    <t>CAD/Measured from SCE Components</t>
  </si>
  <si>
    <t>Nozzle hole distance radial from cylinder axis</t>
  </si>
  <si>
    <t>Nozzle daim at hole c. p.</t>
  </si>
  <si>
    <t>Nozzle Drawing</t>
  </si>
  <si>
    <t>Nozzle spray angle</t>
  </si>
  <si>
    <t>Spray angle delta 1</t>
  </si>
  <si>
    <t>Nozzle hole diameter</t>
  </si>
  <si>
    <t>Outer diameter</t>
  </si>
  <si>
    <t>Nozzle Drawing (Standard Value)</t>
  </si>
  <si>
    <t>Initial Parcel Diameter</t>
  </si>
  <si>
    <t>Particle sizes</t>
  </si>
  <si>
    <t>According to nozzle hole</t>
  </si>
  <si>
    <t>Half Spray Cone Angle</t>
  </si>
  <si>
    <t>Half outer cone angle</t>
  </si>
  <si>
    <t>Original Standard Value</t>
  </si>
  <si>
    <t>Wave C2 Constant</t>
  </si>
  <si>
    <t>Wave C2</t>
  </si>
  <si>
    <t>Best Practice</t>
  </si>
  <si>
    <t>Recommended by AVL: 10 - 12</t>
  </si>
  <si>
    <t>Rate of Injection - Preprocessing Tool for CFD simulations</t>
  </si>
  <si>
    <t>Output Files</t>
  </si>
  <si>
    <t>Name of ROI sheet</t>
  </si>
  <si>
    <t>Name of output file</t>
  </si>
  <si>
    <t>file extension</t>
  </si>
  <si>
    <t>Time column</t>
  </si>
  <si>
    <t>Massflow column</t>
  </si>
  <si>
    <t>Apply smoothing</t>
  </si>
  <si>
    <t>A</t>
  </si>
  <si>
    <t>Detection margin</t>
  </si>
  <si>
    <t>Smoothing maring</t>
  </si>
  <si>
    <t>(Version 1.0)</t>
  </si>
  <si>
    <t>(Reads in tab separated data and treats them according to the red-marked input)</t>
  </si>
  <si>
    <t>Sheetname</t>
  </si>
  <si>
    <t>Type coding</t>
  </si>
  <si>
    <t>Experiment</t>
  </si>
  <si>
    <t xml:space="preserve">FIRE </t>
  </si>
  <si>
    <t>ROI file</t>
  </si>
  <si>
    <t>Input file</t>
  </si>
  <si>
    <t>Control File</t>
  </si>
  <si>
    <t>Template file</t>
  </si>
  <si>
    <t xml:space="preserve">Multiview </t>
  </si>
  <si>
    <t>CORA Postprocessed</t>
  </si>
  <si>
    <t>TMP_MV</t>
  </si>
  <si>
    <t>TMP</t>
  </si>
  <si>
    <t>TMP_MV_IMLINK</t>
  </si>
  <si>
    <t>TMP_Inputs</t>
  </si>
  <si>
    <t>CTL</t>
  </si>
  <si>
    <t>CTL_ROI</t>
  </si>
  <si>
    <t>CTL_Sheet_Overview</t>
  </si>
  <si>
    <t>Simulation Read In</t>
  </si>
  <si>
    <t>CORA postprocessed Read In</t>
  </si>
  <si>
    <t>Experiment Read in</t>
  </si>
  <si>
    <t>Quality Check Read In</t>
  </si>
  <si>
    <t>Crank angle correction:</t>
  </si>
  <si>
    <t>CORA version to be used:</t>
  </si>
  <si>
    <t>Pressure unit of FIRE raw data:</t>
  </si>
  <si>
    <t>Experiment files in workbook</t>
  </si>
  <si>
    <t>Simulation files in workbook</t>
  </si>
  <si>
    <t>CORA postprocessed files in workbook</t>
  </si>
  <si>
    <t>Quality Check Files in workbook:</t>
  </si>
  <si>
    <t>CTL_Data_ReadIn</t>
  </si>
  <si>
    <t>(Adds diagrams to the ROI* sheets)</t>
  </si>
  <si>
    <t>Width [cm]</t>
  </si>
  <si>
    <t>Height [cm]</t>
  </si>
  <si>
    <t>Column</t>
  </si>
  <si>
    <t>Title</t>
  </si>
  <si>
    <t>Name</t>
  </si>
  <si>
    <t>Min.</t>
  </si>
  <si>
    <t>Max.</t>
  </si>
  <si>
    <t>Crank angle [°CA]</t>
  </si>
  <si>
    <t>Auto</t>
  </si>
  <si>
    <t>ROHR [J/°CA]</t>
  </si>
  <si>
    <t>Sheet</t>
  </si>
  <si>
    <t>Color</t>
  </si>
  <si>
    <t>Style</t>
  </si>
  <si>
    <t>Thickness</t>
  </si>
  <si>
    <t>D</t>
  </si>
  <si>
    <t>Ana</t>
  </si>
  <si>
    <t>DR</t>
  </si>
  <si>
    <t>Sim</t>
  </si>
  <si>
    <t>Subdiv</t>
  </si>
  <si>
    <t>Maindiv</t>
  </si>
  <si>
    <t>Diagram Control</t>
  </si>
  <si>
    <t>Diagram</t>
  </si>
  <si>
    <t>Line Nr.</t>
  </si>
  <si>
    <t>y-axis</t>
  </si>
  <si>
    <t>X-axis</t>
  </si>
  <si>
    <t>Y-axis</t>
  </si>
  <si>
    <t>Nr.</t>
  </si>
  <si>
    <t>CTL_Diagrams</t>
  </si>
  <si>
    <t>TMP_Diagram_Layout</t>
  </si>
  <si>
    <t>Pressure [Pa]</t>
  </si>
  <si>
    <t>LAYOUT</t>
  </si>
  <si>
    <t>Dropdown information</t>
  </si>
  <si>
    <t>CTL_Multiview</t>
  </si>
  <si>
    <t>Column CORA</t>
  </si>
  <si>
    <t>Column EXP</t>
  </si>
  <si>
    <t>Column FIR</t>
  </si>
  <si>
    <t>Catchstring</t>
  </si>
  <si>
    <t>C</t>
  </si>
  <si>
    <t>Fastplot</t>
  </si>
  <si>
    <t>CTL_Fastplot</t>
  </si>
  <si>
    <t>L</t>
  </si>
  <si>
    <t>000_figure_</t>
  </si>
  <si>
    <t>C:\Users\lucaseder\Desktop\Analysis_187_1\Figures\M001_1_fl3\</t>
  </si>
  <si>
    <t>Choose diagram:</t>
  </si>
  <si>
    <t>CTL_Multiview_IMLINK</t>
  </si>
  <si>
    <t>Time [s]</t>
  </si>
  <si>
    <t>Penetration [mm]</t>
  </si>
  <si>
    <t>Multiview</t>
  </si>
  <si>
    <t>C:\Users\lucaseder\Desktop\2017_02_03_Spraybox_recheck\Figures\sb_f_new_40_fl3\</t>
  </si>
  <si>
    <t>FIR_sb_7h_MV_RR_v54_fl2</t>
  </si>
  <si>
    <t>FIR_sb_7h_MV_RR_v55_fl2</t>
  </si>
  <si>
    <t>FIR_sb_7h_MV_RR_v56_fl2</t>
  </si>
  <si>
    <t>FIR_sb_7h_MV_RR_v57_fl2</t>
  </si>
  <si>
    <t>FIR_sb_7h_MV_RR_v58_fl2</t>
  </si>
  <si>
    <t>FIR_sb_7h_MV_RR_v59_fl2</t>
  </si>
  <si>
    <t>FIR_sb_7h_MV_RR_v5_fl2</t>
  </si>
  <si>
    <t>FIR_sb_7h_MV_RR_v60_fl2</t>
  </si>
  <si>
    <t>FIR_sb_7h_MV_RR_v61_fl2</t>
  </si>
  <si>
    <t>FIR_sb_7h_MV_RR_v62_fl2</t>
  </si>
  <si>
    <t>FIR_sb_7h_MV_RR_v63_fl2</t>
  </si>
  <si>
    <t>FIR_sb_7h_MV_RR_v64_fl2</t>
  </si>
  <si>
    <t>FIR_sb_7h_MV_RR_v65_fl2</t>
  </si>
  <si>
    <t>FIR_sb_7h_MV_RR_v66_fl2</t>
  </si>
  <si>
    <t>FIR_sb_7h_MV_RR_v67_fl2</t>
  </si>
  <si>
    <t>FIR_sb_7h_MV_RR_v68_fl2</t>
  </si>
  <si>
    <t>FIR_sb_7h_MV_RR_v69_fl2</t>
  </si>
  <si>
    <t>FIR_sb_7h_MV_RR_v6_fl2</t>
  </si>
  <si>
    <t>FIR_sb_7h_MV_RR_v70_fl2</t>
  </si>
  <si>
    <t>FIR_sb_7h_MV_RR_v71_fl2</t>
  </si>
  <si>
    <t>FIR_sb_7h_MV_RR_v72_fl2</t>
  </si>
  <si>
    <t>FIR_sb_7h_MV_RR_v73_fl2</t>
  </si>
  <si>
    <t>FIR_sb_7h_MV_RR_v74_fl2</t>
  </si>
  <si>
    <t>FIR_sb_7h_MV_RR_v75_fl2</t>
  </si>
  <si>
    <t>FIR_sb_7h_MV_RR_v76_fl2</t>
  </si>
  <si>
    <t>FIR_sb_7h_MV_RR_v77_fl2</t>
  </si>
  <si>
    <t>FIR_sb_7h_MV_RR_v78_fl2</t>
  </si>
  <si>
    <t>FIR_sb_7h_MV_RR_v7_fl2</t>
  </si>
  <si>
    <t>FIR_sb_7h_MV_RR_v8_fl2</t>
  </si>
  <si>
    <t>FIR_sb_7h_MV_RR_v9_fl2</t>
  </si>
  <si>
    <t>Liquid penetration [mm]</t>
  </si>
  <si>
    <t>FIR_sb_7h_MV_RR_v79_fl2</t>
  </si>
  <si>
    <t>FIR_sb_7h_MV_RR_v80_fl2</t>
  </si>
  <si>
    <t>FIR_sb_7h_MV_RR_v81_fl2</t>
  </si>
  <si>
    <t>FIR_sb_7h_MV_RR_v82_fl2</t>
  </si>
  <si>
    <t>FIR_sb_7h_MV_RR_v83_fl2</t>
  </si>
  <si>
    <t>FIR_sb_7h_MV_RR_v84_fl2</t>
  </si>
  <si>
    <t>FIR_sb_7h_MV_RR_v85_fl2</t>
  </si>
  <si>
    <t>FIR_sb_7h_MV_RR_v86_fl2</t>
  </si>
  <si>
    <t>FIR_sb_7h_MV_RR_v87_fl2</t>
  </si>
  <si>
    <t>FIR_sb_7h_MV_RR_v88_fl2</t>
  </si>
  <si>
    <t>FIR_sb_7h_MV_RR_v89_fl2</t>
  </si>
  <si>
    <t>FIR_sb_7h_MV_RR_v90_fl2</t>
  </si>
  <si>
    <t>FIR_sb_7h_MV_RR_v91_fl2</t>
  </si>
  <si>
    <t>FIR_sb_7h_MV_RR_v92_fl2</t>
  </si>
  <si>
    <t>FIR_sb_7h_MV_RR_v93_fl2</t>
  </si>
  <si>
    <t>FIR_sb_7h_MV_RR_v94_fl2</t>
  </si>
  <si>
    <t>FIR_sb_7h_MV_RR_v95_fl2</t>
  </si>
  <si>
    <t>FIR_SB_7h_3_9_fl2</t>
  </si>
  <si>
    <t>H</t>
  </si>
  <si>
    <t>AJ</t>
  </si>
  <si>
    <t>*RS*</t>
  </si>
  <si>
    <t>EXP_VAP_78060_160_12R_RS</t>
  </si>
  <si>
    <t>FIR_RS_0p6_Var_1_42_fl2</t>
  </si>
  <si>
    <t>FIR_RS_0p6_Var_1_43_fl2</t>
  </si>
  <si>
    <t>FIR_RS_0p6_Var_1_44_fl2</t>
  </si>
  <si>
    <t>FIR_RS_0p6_Var_1_45_fl2</t>
  </si>
  <si>
    <t>FIR_RS_0p6_Var_1_46_fl2</t>
  </si>
  <si>
    <t>FIR_RS_0p6_Var_1_47_fl2</t>
  </si>
  <si>
    <t>FIR_RS_0p6_Var_1_48_fl2</t>
  </si>
  <si>
    <t>FIR_RS_0p3_26_fl2</t>
  </si>
  <si>
    <t>FIR_RS_0p3_27_fl2</t>
  </si>
  <si>
    <t>FIR_RS_0p3_28_fl2</t>
  </si>
  <si>
    <t>FIR_RS_0p3_29_fl2</t>
  </si>
  <si>
    <t>FIR_RS_0p3_30_fl2</t>
  </si>
  <si>
    <t>FIR_RS_0p3_31_fl2</t>
  </si>
  <si>
    <t>FIR_RS_0p3_32_fl2</t>
  </si>
  <si>
    <t>FIR_RS_0p3_33_fl2</t>
  </si>
  <si>
    <t>FIR_RS_0p3_34_fl2</t>
  </si>
  <si>
    <t>FIR_RS_0p3_35_fl2</t>
  </si>
  <si>
    <t>FIR_RS_0p3_36_fl2</t>
  </si>
  <si>
    <t>FIR_RS_0p3_37_fl2</t>
  </si>
  <si>
    <t>FIR_RS_0p3_38_fl2</t>
  </si>
  <si>
    <t>FIR_RS_0p3_39_fl2</t>
  </si>
  <si>
    <t>FIR_RS_0p3_40_fl2</t>
  </si>
  <si>
    <t>FIR_RS_0p3_41_fl2</t>
  </si>
  <si>
    <t>FIR_RS_0p3_42_fl2</t>
  </si>
  <si>
    <t>FIR_RS_0p3_43_fl2</t>
  </si>
  <si>
    <t>FIR_RS_0p3_44_fl2</t>
  </si>
  <si>
    <t>FIR_RS_0p3_45_fl2</t>
  </si>
  <si>
    <t>FIR_RS_0p3_46_fl2</t>
  </si>
  <si>
    <t>FIR_RS_0p3_47_fl2</t>
  </si>
  <si>
    <t>FIR_RS_0p3_48_fl2</t>
  </si>
  <si>
    <t>Time / s</t>
  </si>
  <si>
    <t>FIR_RS_0p3_11_AIG_12_fl2</t>
  </si>
  <si>
    <t>FIR_RS_0p3_11_AIG_15_fl2</t>
  </si>
  <si>
    <t>FIR_RS_0p3_11_AIG_8_fl2</t>
  </si>
  <si>
    <t>FIR_RS_0p3_11_AIG_9_fl2</t>
  </si>
  <si>
    <t>FIR_RS_0p3_11_AIG_10_fl2</t>
  </si>
  <si>
    <t>FIR_RS_0p3_11_AIG_11_fl2</t>
  </si>
  <si>
    <t>FIR_RS_0p3_11_AIG_13_fl2</t>
  </si>
  <si>
    <t>FIR_RS_0p3_11_AIG_14_fl2</t>
  </si>
  <si>
    <t>FIR_RS_0p3_11_AIG_16_fl2</t>
  </si>
  <si>
    <t>FIR_RS_0p3_11_AIG_17_fl2</t>
  </si>
  <si>
    <t>FIR_RS_0p3_11_AIG_18_fl2</t>
  </si>
  <si>
    <t>dT/dt  /  K/s</t>
  </si>
  <si>
    <t>FIR_RS_AIG_290_fl2</t>
  </si>
  <si>
    <t>FIR_RS_AIG_292_fl2</t>
  </si>
  <si>
    <t>FIR_ECFM3Z_Sc_4_fl2</t>
  </si>
  <si>
    <t>FIR_Case_DC_Sc09</t>
  </si>
  <si>
    <t>Comparison</t>
  </si>
  <si>
    <t>Exp</t>
  </si>
  <si>
    <t>Vapor penetration / m</t>
  </si>
  <si>
    <t>FIR_2D_all_DC_Sc09</t>
  </si>
  <si>
    <t>FIR_DC_Sc09_Chal_MZM_off_fl2</t>
  </si>
  <si>
    <t>WERC</t>
  </si>
  <si>
    <t>Chalmers</t>
  </si>
  <si>
    <t>IT</t>
  </si>
  <si>
    <t>timescale - extracted</t>
  </si>
  <si>
    <t>massflow - extracted</t>
  </si>
  <si>
    <t>timescale - smoothed - time</t>
  </si>
  <si>
    <t>massflow - smoothed - time</t>
  </si>
  <si>
    <t>ROI_ROI_Pinj_800_bar</t>
  </si>
  <si>
    <t>ROI</t>
  </si>
  <si>
    <t>.txt</t>
  </si>
  <si>
    <t>I:\marcellackner\LEC\07_X1T1_WP3_Reactive_Spray\2018_03_06_RS_DC_Sc09_Chalmers_mech_v2_4_Knoten_Multizonemodel_off_4ms_Pinj_800_var_Duesenlochdm_Tropfenspektrum\OI_Pinj_800_bar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</si>
</sst>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\-mm\-dd;@"/>
    <numFmt numFmtId="165" formatCode="0.0"/>
    <numFmt numFmtId="166" formatCode="0.0000"/>
    <numFmt numFmtId="167" formatCode="0.00000"/>
    <numFmt numFmtId="168" formatCode="0.0000000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4"/>
      <color rgb="FF3F3F3F"/>
      <name val="Calibri"/>
      <family val="2"/>
      <scheme val="minor"/>
    </font>
    <font>
      <b/>
      <sz val="14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0000"/>
      <name val="Calibri"/>
      <family val="2"/>
    </font>
    <font>
      <b/>
      <sz val="20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1B050"/>
        <bgColor indexed="64"/>
      </patternFill>
    </fill>
    <fill>
      <patternFill patternType="solid">
        <fgColor rgb="FF00AA00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C99"/>
      </patternFill>
    </fill>
    <fill>
      <patternFill patternType="solid">
        <fgColor rgb="FF4F81BD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</fills>
  <borders count="3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/>
      <top style="thin">
        <color rgb="FF3F3F3F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thin">
        <color rgb="FF3F3F3F"/>
      </bottom>
      <diagonal/>
    </border>
    <border>
      <left/>
      <right/>
      <top style="medium">
        <color indexed="64"/>
      </top>
      <bottom style="thin">
        <color rgb="FF3F3F3F"/>
      </bottom>
      <diagonal/>
    </border>
    <border>
      <left/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" fillId="4" borderId="0" applyNumberFormat="0" applyBorder="0" applyAlignment="0" applyProtection="0"/>
    <xf numFmtId="0" fontId="16" fillId="17" borderId="29" applyNumberFormat="0" applyAlignment="0" applyProtection="0"/>
  </cellStyleXfs>
  <cellXfs count="187">
    <xf numFmtId="0" fontId="0" fillId="0" borderId="0" xfId="0"/>
    <xf numFmtId="0" fontId="3" fillId="3" borderId="1" xfId="2"/>
    <xf numFmtId="0" fontId="5" fillId="0" borderId="0" xfId="0" applyFont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5" fillId="0" borderId="0" xfId="0" applyFont="1" applyBorder="1"/>
    <xf numFmtId="0" fontId="5" fillId="0" borderId="11" xfId="0" applyFont="1" applyBorder="1"/>
    <xf numFmtId="0" fontId="4" fillId="0" borderId="11" xfId="0" applyFont="1" applyBorder="1"/>
    <xf numFmtId="0" fontId="2" fillId="2" borderId="0" xfId="1" applyBorder="1"/>
    <xf numFmtId="0" fontId="2" fillId="2" borderId="0" xfId="1" applyBorder="1" applyAlignment="1">
      <alignment horizontal="right"/>
    </xf>
    <xf numFmtId="0" fontId="9" fillId="4" borderId="14" xfId="3" applyFont="1" applyBorder="1"/>
    <xf numFmtId="0" fontId="9" fillId="4" borderId="15" xfId="3" applyFont="1" applyBorder="1"/>
    <xf numFmtId="0" fontId="9" fillId="4" borderId="16" xfId="3" applyFont="1" applyBorder="1" applyAlignment="1">
      <alignment horizontal="right"/>
    </xf>
    <xf numFmtId="0" fontId="5" fillId="0" borderId="0" xfId="0" applyFont="1" applyFill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5" fillId="0" borderId="19" xfId="0" applyFont="1" applyBorder="1"/>
    <xf numFmtId="0" fontId="0" fillId="0" borderId="0" xfId="0" applyFill="1"/>
    <xf numFmtId="0" fontId="10" fillId="8" borderId="0" xfId="0" applyFont="1" applyFill="1"/>
    <xf numFmtId="0" fontId="0" fillId="8" borderId="0" xfId="0" applyFill="1" applyAlignment="1">
      <alignment horizontal="left"/>
    </xf>
    <xf numFmtId="0" fontId="0" fillId="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6" fillId="0" borderId="0" xfId="0" applyFont="1"/>
    <xf numFmtId="49" fontId="0" fillId="0" borderId="0" xfId="0" applyNumberFormat="1"/>
    <xf numFmtId="164" fontId="0" fillId="0" borderId="0" xfId="0" applyNumberFormat="1" applyAlignment="1">
      <alignment horizontal="left"/>
    </xf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left"/>
    </xf>
    <xf numFmtId="0" fontId="6" fillId="0" borderId="0" xfId="0" applyFont="1" applyAlignment="1">
      <alignment horizontal="left"/>
    </xf>
    <xf numFmtId="165" fontId="11" fillId="0" borderId="0" xfId="0" applyNumberFormat="1" applyFont="1" applyAlignment="1">
      <alignment horizontal="left"/>
    </xf>
    <xf numFmtId="2" fontId="11" fillId="0" borderId="0" xfId="0" applyNumberFormat="1" applyFont="1" applyAlignment="1">
      <alignment horizontal="left"/>
    </xf>
    <xf numFmtId="166" fontId="11" fillId="0" borderId="0" xfId="0" applyNumberFormat="1" applyFont="1" applyAlignment="1">
      <alignment horizontal="left"/>
    </xf>
    <xf numFmtId="167" fontId="0" fillId="0" borderId="0" xfId="0" applyNumberFormat="1" applyAlignment="1">
      <alignment horizontal="left"/>
    </xf>
    <xf numFmtId="0" fontId="11" fillId="0" borderId="0" xfId="0" applyFont="1" applyAlignment="1">
      <alignment horizontal="left"/>
    </xf>
    <xf numFmtId="168" fontId="11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11" fontId="6" fillId="0" borderId="0" xfId="0" applyNumberFormat="1" applyFont="1" applyAlignment="1">
      <alignment horizontal="left"/>
    </xf>
    <xf numFmtId="11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0" fontId="4" fillId="0" borderId="0" xfId="0" applyFont="1"/>
    <xf numFmtId="0" fontId="4" fillId="0" borderId="23" xfId="0" applyFont="1" applyBorder="1"/>
    <xf numFmtId="0" fontId="4" fillId="0" borderId="25" xfId="0" applyFont="1" applyBorder="1"/>
    <xf numFmtId="0" fontId="0" fillId="11" borderId="24" xfId="0" applyFill="1" applyBorder="1" applyAlignment="1">
      <alignment horizontal="right"/>
    </xf>
    <xf numFmtId="0" fontId="0" fillId="11" borderId="26" xfId="0" applyFill="1" applyBorder="1" applyAlignment="1">
      <alignment horizontal="right"/>
    </xf>
    <xf numFmtId="0" fontId="0" fillId="11" borderId="26" xfId="0" applyFill="1" applyBorder="1"/>
    <xf numFmtId="0" fontId="0" fillId="11" borderId="28" xfId="0" applyFill="1" applyBorder="1"/>
    <xf numFmtId="0" fontId="4" fillId="0" borderId="27" xfId="0" applyFont="1" applyFill="1" applyBorder="1"/>
    <xf numFmtId="0" fontId="0" fillId="13" borderId="0" xfId="0" applyFill="1"/>
    <xf numFmtId="0" fontId="0" fillId="14" borderId="0" xfId="0" applyFill="1"/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0" fillId="0" borderId="0" xfId="0" applyAlignment="1"/>
    <xf numFmtId="0" fontId="4" fillId="0" borderId="30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3" fillId="3" borderId="34" xfId="2" applyBorder="1" applyAlignment="1">
      <alignment horizontal="center"/>
    </xf>
    <xf numFmtId="0" fontId="16" fillId="18" borderId="30" xfId="4" applyFill="1" applyBorder="1" applyAlignment="1">
      <alignment horizontal="center"/>
    </xf>
    <xf numFmtId="0" fontId="16" fillId="19" borderId="30" xfId="4" applyFill="1" applyBorder="1" applyAlignment="1">
      <alignment horizontal="center"/>
    </xf>
    <xf numFmtId="0" fontId="16" fillId="0" borderId="0" xfId="4" applyFill="1" applyBorder="1" applyAlignment="1"/>
    <xf numFmtId="0" fontId="16" fillId="0" borderId="0" xfId="4" applyFill="1" applyBorder="1" applyAlignment="1">
      <alignment horizontal="center"/>
    </xf>
    <xf numFmtId="0" fontId="16" fillId="20" borderId="30" xfId="4" applyFill="1" applyBorder="1" applyAlignment="1">
      <alignment horizontal="center"/>
    </xf>
    <xf numFmtId="0" fontId="16" fillId="20" borderId="32" xfId="4" applyFill="1" applyBorder="1" applyAlignment="1">
      <alignment horizontal="center"/>
    </xf>
    <xf numFmtId="0" fontId="16" fillId="20" borderId="30" xfId="4" applyFill="1" applyBorder="1" applyAlignment="1"/>
    <xf numFmtId="0" fontId="16" fillId="20" borderId="33" xfId="4" applyFill="1" applyBorder="1" applyAlignment="1"/>
    <xf numFmtId="0" fontId="0" fillId="0" borderId="0" xfId="0" applyFont="1" applyBorder="1" applyAlignment="1">
      <alignment horizontal="center"/>
    </xf>
    <xf numFmtId="0" fontId="17" fillId="21" borderId="30" xfId="4" applyFont="1" applyFill="1" applyBorder="1" applyAlignment="1">
      <alignment horizontal="center"/>
    </xf>
    <xf numFmtId="0" fontId="17" fillId="21" borderId="37" xfId="4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16" fillId="20" borderId="32" xfId="4" applyFill="1" applyBorder="1" applyAlignment="1">
      <alignment horizontal="center"/>
    </xf>
    <xf numFmtId="0" fontId="16" fillId="20" borderId="30" xfId="4" applyFill="1" applyBorder="1" applyAlignment="1">
      <alignment horizontal="center"/>
    </xf>
    <xf numFmtId="0" fontId="0" fillId="0" borderId="30" xfId="0" applyFont="1" applyBorder="1" applyAlignment="1"/>
    <xf numFmtId="0" fontId="16" fillId="20" borderId="32" xfId="4" applyFill="1" applyBorder="1" applyAlignment="1">
      <alignment horizontal="center"/>
    </xf>
    <xf numFmtId="0" fontId="16" fillId="20" borderId="30" xfId="4" applyFill="1" applyBorder="1" applyAlignment="1">
      <alignment horizontal="center"/>
    </xf>
    <xf numFmtId="0" fontId="0" fillId="0" borderId="0" xfId="0" applyNumberFormat="1"/>
    <xf numFmtId="0" fontId="22" fillId="0" borderId="0" xfId="0" applyFont="1"/>
    <xf numFmtId="0" fontId="22" fillId="0" borderId="20" xfId="0" applyFont="1" applyBorder="1"/>
    <xf numFmtId="0" fontId="22" fillId="0" borderId="22" xfId="0" applyFont="1" applyBorder="1"/>
    <xf numFmtId="0" fontId="23" fillId="2" borderId="21" xfId="1" applyFont="1" applyBorder="1"/>
    <xf numFmtId="0" fontId="22" fillId="0" borderId="11" xfId="0" applyFont="1" applyBorder="1"/>
    <xf numFmtId="0" fontId="22" fillId="0" borderId="12" xfId="0" applyFont="1" applyBorder="1"/>
    <xf numFmtId="0" fontId="23" fillId="2" borderId="0" xfId="1" applyFont="1" applyBorder="1"/>
    <xf numFmtId="0" fontId="24" fillId="0" borderId="0" xfId="0" applyFont="1" applyFill="1" applyBorder="1" applyAlignment="1">
      <alignment horizontal="center"/>
    </xf>
    <xf numFmtId="0" fontId="22" fillId="0" borderId="0" xfId="0" applyFont="1" applyBorder="1"/>
    <xf numFmtId="0" fontId="22" fillId="0" borderId="17" xfId="0" applyFont="1" applyBorder="1"/>
    <xf numFmtId="0" fontId="22" fillId="0" borderId="19" xfId="0" applyFont="1" applyBorder="1"/>
    <xf numFmtId="0" fontId="26" fillId="0" borderId="0" xfId="0" applyFont="1"/>
    <xf numFmtId="0" fontId="27" fillId="0" borderId="30" xfId="0" applyFont="1" applyBorder="1" applyAlignment="1">
      <alignment horizontal="center"/>
    </xf>
    <xf numFmtId="0" fontId="26" fillId="0" borderId="30" xfId="0" applyFont="1" applyBorder="1" applyAlignment="1">
      <alignment horizontal="center"/>
    </xf>
    <xf numFmtId="0" fontId="28" fillId="3" borderId="34" xfId="2" applyFont="1" applyBorder="1" applyAlignment="1">
      <alignment horizontal="center"/>
    </xf>
    <xf numFmtId="0" fontId="29" fillId="20" borderId="30" xfId="4" applyFont="1" applyFill="1" applyBorder="1" applyAlignment="1">
      <alignment horizontal="center"/>
    </xf>
    <xf numFmtId="0" fontId="30" fillId="21" borderId="30" xfId="4" applyFont="1" applyFill="1" applyBorder="1" applyAlignment="1">
      <alignment horizontal="center"/>
    </xf>
    <xf numFmtId="0" fontId="29" fillId="0" borderId="0" xfId="4" applyFont="1" applyFill="1" applyBorder="1" applyAlignment="1"/>
    <xf numFmtId="0" fontId="29" fillId="0" borderId="0" xfId="4" applyFont="1" applyFill="1" applyBorder="1" applyAlignment="1">
      <alignment horizontal="center"/>
    </xf>
    <xf numFmtId="0" fontId="30" fillId="21" borderId="37" xfId="4" applyFont="1" applyFill="1" applyBorder="1" applyAlignment="1">
      <alignment horizontal="center"/>
    </xf>
    <xf numFmtId="0" fontId="29" fillId="20" borderId="30" xfId="4" applyFont="1" applyFill="1" applyBorder="1" applyAlignment="1"/>
    <xf numFmtId="0" fontId="26" fillId="0" borderId="0" xfId="0" applyFont="1" applyBorder="1" applyAlignment="1">
      <alignment horizontal="center"/>
    </xf>
    <xf numFmtId="0" fontId="26" fillId="0" borderId="0" xfId="0" applyFont="1" applyFill="1" applyBorder="1" applyAlignment="1">
      <alignment horizontal="center"/>
    </xf>
    <xf numFmtId="0" fontId="16" fillId="20" borderId="30" xfId="4" applyFont="1" applyFill="1" applyBorder="1" applyAlignment="1">
      <alignment horizontal="center"/>
    </xf>
    <xf numFmtId="0" fontId="32" fillId="22" borderId="30" xfId="4" applyFont="1" applyFill="1" applyBorder="1" applyAlignment="1">
      <alignment horizontal="center"/>
    </xf>
    <xf numFmtId="0" fontId="31" fillId="23" borderId="30" xfId="4" applyFont="1" applyFill="1" applyBorder="1" applyAlignment="1">
      <alignment horizontal="center"/>
    </xf>
    <xf numFmtId="0" fontId="16" fillId="20" borderId="30" xfId="4" applyFill="1" applyBorder="1" applyAlignment="1">
      <alignment horizontal="center"/>
    </xf>
    <xf numFmtId="0" fontId="16" fillId="24" borderId="30" xfId="4" applyFill="1" applyBorder="1" applyAlignment="1">
      <alignment horizontal="center"/>
    </xf>
    <xf numFmtId="0" fontId="7" fillId="3" borderId="2" xfId="2" applyFont="1" applyBorder="1" applyAlignment="1">
      <alignment horizontal="left"/>
    </xf>
    <xf numFmtId="0" fontId="7" fillId="3" borderId="3" xfId="2" applyFont="1" applyBorder="1" applyAlignment="1">
      <alignment horizontal="left"/>
    </xf>
    <xf numFmtId="0" fontId="7" fillId="3" borderId="4" xfId="2" applyFont="1" applyBorder="1" applyAlignment="1">
      <alignment horizontal="left"/>
    </xf>
    <xf numFmtId="0" fontId="7" fillId="3" borderId="1" xfId="2" applyFont="1" applyAlignment="1">
      <alignment horizontal="left"/>
    </xf>
    <xf numFmtId="0" fontId="7" fillId="3" borderId="5" xfId="2" applyFont="1" applyBorder="1" applyAlignment="1">
      <alignment horizontal="left"/>
    </xf>
    <xf numFmtId="0" fontId="7" fillId="3" borderId="6" xfId="2" applyFont="1" applyBorder="1" applyAlignment="1">
      <alignment horizontal="left"/>
    </xf>
    <xf numFmtId="0" fontId="7" fillId="3" borderId="7" xfId="2" applyFont="1" applyBorder="1" applyAlignment="1">
      <alignment horizontal="left"/>
    </xf>
    <xf numFmtId="0" fontId="8" fillId="3" borderId="8" xfId="2" applyFont="1" applyBorder="1" applyAlignment="1">
      <alignment horizontal="center"/>
    </xf>
    <xf numFmtId="0" fontId="8" fillId="3" borderId="9" xfId="2" applyFont="1" applyBorder="1" applyAlignment="1">
      <alignment horizontal="center"/>
    </xf>
    <xf numFmtId="0" fontId="8" fillId="3" borderId="10" xfId="2" applyFont="1" applyBorder="1" applyAlignment="1">
      <alignment horizontal="center"/>
    </xf>
    <xf numFmtId="0" fontId="8" fillId="3" borderId="14" xfId="2" applyFont="1" applyBorder="1" applyAlignment="1">
      <alignment horizontal="center"/>
    </xf>
    <xf numFmtId="0" fontId="8" fillId="3" borderId="15" xfId="2" applyFont="1" applyBorder="1" applyAlignment="1">
      <alignment horizontal="center"/>
    </xf>
    <xf numFmtId="0" fontId="8" fillId="3" borderId="16" xfId="2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16" fillId="20" borderId="31" xfId="4" applyFill="1" applyBorder="1" applyAlignment="1">
      <alignment horizontal="center"/>
    </xf>
    <xf numFmtId="0" fontId="16" fillId="20" borderId="33" xfId="4" applyFill="1" applyBorder="1" applyAlignment="1">
      <alignment horizontal="center"/>
    </xf>
    <xf numFmtId="0" fontId="18" fillId="6" borderId="0" xfId="0" applyFont="1" applyFill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16" fillId="20" borderId="32" xfId="4" applyFill="1" applyBorder="1" applyAlignment="1">
      <alignment horizontal="center"/>
    </xf>
    <xf numFmtId="0" fontId="3" fillId="3" borderId="35" xfId="2" applyBorder="1" applyAlignment="1">
      <alignment horizontal="center"/>
    </xf>
    <xf numFmtId="0" fontId="3" fillId="3" borderId="36" xfId="2" applyBorder="1" applyAlignment="1">
      <alignment horizontal="center"/>
    </xf>
    <xf numFmtId="0" fontId="16" fillId="20" borderId="30" xfId="4" applyFill="1" applyBorder="1" applyAlignment="1">
      <alignment horizontal="center"/>
    </xf>
    <xf numFmtId="0" fontId="13" fillId="10" borderId="20" xfId="0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13" fillId="10" borderId="17" xfId="0" applyFont="1" applyFill="1" applyBorder="1" applyAlignment="1">
      <alignment horizontal="center" vertical="center"/>
    </xf>
    <xf numFmtId="0" fontId="13" fillId="10" borderId="18" xfId="0" applyFont="1" applyFill="1" applyBorder="1" applyAlignment="1">
      <alignment horizontal="center" vertical="center"/>
    </xf>
    <xf numFmtId="0" fontId="13" fillId="10" borderId="19" xfId="0" applyFont="1" applyFill="1" applyBorder="1" applyAlignment="1">
      <alignment horizontal="center" vertical="center"/>
    </xf>
    <xf numFmtId="0" fontId="24" fillId="12" borderId="14" xfId="0" applyFont="1" applyFill="1" applyBorder="1" applyAlignment="1">
      <alignment horizontal="center"/>
    </xf>
    <xf numFmtId="0" fontId="24" fillId="12" borderId="16" xfId="0" applyFont="1" applyFill="1" applyBorder="1" applyAlignment="1">
      <alignment horizontal="center"/>
    </xf>
    <xf numFmtId="0" fontId="24" fillId="15" borderId="14" xfId="0" applyFont="1" applyFill="1" applyBorder="1" applyAlignment="1">
      <alignment horizontal="center"/>
    </xf>
    <xf numFmtId="0" fontId="24" fillId="15" borderId="16" xfId="0" applyFont="1" applyFill="1" applyBorder="1" applyAlignment="1">
      <alignment horizontal="center"/>
    </xf>
    <xf numFmtId="0" fontId="24" fillId="16" borderId="14" xfId="0" applyFont="1" applyFill="1" applyBorder="1" applyAlignment="1">
      <alignment horizontal="center"/>
    </xf>
    <xf numFmtId="0" fontId="24" fillId="16" borderId="16" xfId="0" applyFont="1" applyFill="1" applyBorder="1" applyAlignment="1">
      <alignment horizontal="center"/>
    </xf>
    <xf numFmtId="0" fontId="24" fillId="7" borderId="14" xfId="0" applyFont="1" applyFill="1" applyBorder="1" applyAlignment="1">
      <alignment horizontal="center"/>
    </xf>
    <xf numFmtId="0" fontId="24" fillId="7" borderId="16" xfId="0" applyFont="1" applyFill="1" applyBorder="1" applyAlignment="1">
      <alignment horizontal="center"/>
    </xf>
    <xf numFmtId="0" fontId="21" fillId="12" borderId="20" xfId="0" applyFont="1" applyFill="1" applyBorder="1" applyAlignment="1">
      <alignment horizontal="center" vertical="center"/>
    </xf>
    <xf numFmtId="0" fontId="21" fillId="12" borderId="22" xfId="0" applyFont="1" applyFill="1" applyBorder="1" applyAlignment="1">
      <alignment horizontal="center" vertical="center"/>
    </xf>
    <xf numFmtId="0" fontId="21" fillId="12" borderId="11" xfId="0" applyFont="1" applyFill="1" applyBorder="1" applyAlignment="1">
      <alignment horizontal="center" vertical="center"/>
    </xf>
    <xf numFmtId="0" fontId="21" fillId="12" borderId="12" xfId="0" applyFont="1" applyFill="1" applyBorder="1" applyAlignment="1">
      <alignment horizontal="center" vertical="center"/>
    </xf>
    <xf numFmtId="0" fontId="21" fillId="12" borderId="17" xfId="0" applyFont="1" applyFill="1" applyBorder="1" applyAlignment="1">
      <alignment horizontal="center" vertical="center"/>
    </xf>
    <xf numFmtId="0" fontId="21" fillId="12" borderId="19" xfId="0" applyFont="1" applyFill="1" applyBorder="1" applyAlignment="1">
      <alignment horizontal="center" vertical="center"/>
    </xf>
    <xf numFmtId="0" fontId="21" fillId="15" borderId="20" xfId="0" applyFont="1" applyFill="1" applyBorder="1" applyAlignment="1">
      <alignment horizontal="center" vertical="center"/>
    </xf>
    <xf numFmtId="0" fontId="21" fillId="15" borderId="22" xfId="0" applyFont="1" applyFill="1" applyBorder="1" applyAlignment="1">
      <alignment horizontal="center" vertical="center"/>
    </xf>
    <xf numFmtId="0" fontId="21" fillId="15" borderId="11" xfId="0" applyFont="1" applyFill="1" applyBorder="1" applyAlignment="1">
      <alignment horizontal="center" vertical="center"/>
    </xf>
    <xf numFmtId="0" fontId="21" fillId="15" borderId="12" xfId="0" applyFont="1" applyFill="1" applyBorder="1" applyAlignment="1">
      <alignment horizontal="center" vertical="center"/>
    </xf>
    <xf numFmtId="0" fontId="21" fillId="15" borderId="17" xfId="0" applyFont="1" applyFill="1" applyBorder="1" applyAlignment="1">
      <alignment horizontal="center" vertical="center"/>
    </xf>
    <xf numFmtId="0" fontId="21" fillId="15" borderId="19" xfId="0" applyFont="1" applyFill="1" applyBorder="1" applyAlignment="1">
      <alignment horizontal="center" vertical="center"/>
    </xf>
    <xf numFmtId="0" fontId="21" fillId="16" borderId="20" xfId="0" applyFont="1" applyFill="1" applyBorder="1" applyAlignment="1">
      <alignment horizontal="center" vertical="center"/>
    </xf>
    <xf numFmtId="0" fontId="21" fillId="16" borderId="22" xfId="0" applyFont="1" applyFill="1" applyBorder="1" applyAlignment="1">
      <alignment horizontal="center" vertical="center"/>
    </xf>
    <xf numFmtId="0" fontId="21" fillId="16" borderId="11" xfId="0" applyFont="1" applyFill="1" applyBorder="1" applyAlignment="1">
      <alignment horizontal="center" vertical="center"/>
    </xf>
    <xf numFmtId="0" fontId="21" fillId="16" borderId="12" xfId="0" applyFont="1" applyFill="1" applyBorder="1" applyAlignment="1">
      <alignment horizontal="center" vertical="center"/>
    </xf>
    <xf numFmtId="0" fontId="21" fillId="16" borderId="17" xfId="0" applyFont="1" applyFill="1" applyBorder="1" applyAlignment="1">
      <alignment horizontal="center" vertical="center"/>
    </xf>
    <xf numFmtId="0" fontId="21" fillId="16" borderId="19" xfId="0" applyFont="1" applyFill="1" applyBorder="1" applyAlignment="1">
      <alignment horizontal="center" vertical="center"/>
    </xf>
    <xf numFmtId="0" fontId="21" fillId="7" borderId="20" xfId="0" applyFont="1" applyFill="1" applyBorder="1" applyAlignment="1">
      <alignment horizontal="center" vertical="center"/>
    </xf>
    <xf numFmtId="0" fontId="21" fillId="7" borderId="22" xfId="0" applyFont="1" applyFill="1" applyBorder="1" applyAlignment="1">
      <alignment horizontal="center" vertical="center"/>
    </xf>
    <xf numFmtId="0" fontId="21" fillId="7" borderId="11" xfId="0" applyFont="1" applyFill="1" applyBorder="1" applyAlignment="1">
      <alignment horizontal="center" vertical="center"/>
    </xf>
    <xf numFmtId="0" fontId="21" fillId="7" borderId="12" xfId="0" applyFont="1" applyFill="1" applyBorder="1" applyAlignment="1">
      <alignment horizontal="center" vertical="center"/>
    </xf>
    <xf numFmtId="0" fontId="21" fillId="7" borderId="17" xfId="0" applyFont="1" applyFill="1" applyBorder="1" applyAlignment="1">
      <alignment horizontal="center" vertical="center"/>
    </xf>
    <xf numFmtId="0" fontId="21" fillId="7" borderId="19" xfId="0" applyFont="1" applyFill="1" applyBorder="1" applyAlignment="1">
      <alignment horizontal="center" vertical="center"/>
    </xf>
    <xf numFmtId="0" fontId="25" fillId="5" borderId="0" xfId="0" applyFont="1" applyFill="1" applyAlignment="1">
      <alignment horizontal="left" vertical="center"/>
    </xf>
    <xf numFmtId="0" fontId="27" fillId="0" borderId="30" xfId="0" applyFont="1" applyBorder="1" applyAlignment="1">
      <alignment horizontal="center"/>
    </xf>
    <xf numFmtId="0" fontId="16" fillId="20" borderId="31" xfId="4" applyFont="1" applyFill="1" applyBorder="1" applyAlignment="1">
      <alignment horizontal="center" wrapText="1"/>
    </xf>
    <xf numFmtId="0" fontId="29" fillId="20" borderId="31" xfId="4" applyFont="1" applyFill="1" applyBorder="1" applyAlignment="1">
      <alignment horizontal="center"/>
    </xf>
    <xf numFmtId="0" fontId="29" fillId="20" borderId="33" xfId="4" applyFont="1" applyFill="1" applyBorder="1" applyAlignment="1">
      <alignment horizontal="center"/>
    </xf>
    <xf numFmtId="0" fontId="29" fillId="20" borderId="30" xfId="4" applyFont="1" applyFill="1" applyBorder="1" applyAlignment="1">
      <alignment horizontal="center"/>
    </xf>
    <xf numFmtId="0" fontId="16" fillId="20" borderId="32" xfId="4" applyFont="1" applyFill="1" applyBorder="1" applyAlignment="1">
      <alignment horizontal="center" wrapText="1"/>
    </xf>
    <xf numFmtId="0" fontId="27" fillId="0" borderId="32" xfId="0" applyFont="1" applyBorder="1" applyAlignment="1">
      <alignment horizontal="center"/>
    </xf>
    <xf numFmtId="0" fontId="27" fillId="0" borderId="31" xfId="0" applyFont="1" applyBorder="1" applyAlignment="1">
      <alignment horizontal="center"/>
    </xf>
    <xf numFmtId="0" fontId="27" fillId="0" borderId="33" xfId="0" applyFont="1" applyBorder="1" applyAlignment="1">
      <alignment horizontal="center"/>
    </xf>
    <xf numFmtId="0" fontId="28" fillId="3" borderId="35" xfId="2" applyFont="1" applyBorder="1" applyAlignment="1">
      <alignment horizontal="center"/>
    </xf>
    <xf numFmtId="0" fontId="28" fillId="3" borderId="36" xfId="2" applyFont="1" applyBorder="1" applyAlignment="1">
      <alignment horizontal="center"/>
    </xf>
    <xf numFmtId="0" fontId="16" fillId="20" borderId="32" xfId="4" applyFont="1" applyFill="1" applyBorder="1" applyAlignment="1">
      <alignment horizontal="center"/>
    </xf>
    <xf numFmtId="0" fontId="19" fillId="5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11" fontId="0" fillId="0" borderId="0" xfId="0" applyNumberFormat="1"/>
  </cellXfs>
  <cellStyles count="5">
    <cellStyle name="20 % - Akzent1" xfId="3" builtinId="30"/>
    <cellStyle name="Ausgabe" xfId="2" builtinId="21"/>
    <cellStyle name="Eingabe" xfId="4" builtinId="20"/>
    <cellStyle name="Schlecht" xfId="1" builtinId="27"/>
    <cellStyle name="Standard" xfId="0" builtinId="0"/>
  </cellStyles>
  <dxfs count="0"/>
  <tableStyles count="0" defaultTableStyle="TableStyleMedium2" defaultPivotStyle="PivotStyleLight16"/>
  <colors>
    <mruColors>
      <color rgb="FF53C185"/>
      <color rgb="FF01B050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EXP_VAP_78060_160_12R_RS</c:v>
          </c:tx>
          <c:spPr>
            <a:ln w="254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44-4B85-A82C-5623230FA483}"/>
            </c:ext>
          </c:extLst>
        </c:ser>
        <c:ser>
          <c:idx val="4"/>
          <c:order val="1"/>
          <c:tx>
            <c:v>FIR_RS_0p3_11_fl2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D44-4B85-A82C-5623230FA483}"/>
            </c:ext>
          </c:extLst>
        </c:ser>
        <c:ser>
          <c:idx val="5"/>
          <c:order val="2"/>
          <c:tx>
            <c:v>FIR_RS_0p3_12_fl2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D44-4B85-A82C-5623230FA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19416"/>
        <c:axId val="233624336"/>
      </c:scatterChart>
      <c:valAx>
        <c:axId val="233619416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233624336"/>
        <c:crosses val="autoZero"/>
        <c:crossBetween val="midCat"/>
      </c:valAx>
      <c:valAx>
        <c:axId val="233624336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233619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ROI_ROI_Pinj_800_bar!$F$1</c:f>
              <c:strCache>
                <c:ptCount val="1"/>
                <c:pt idx="0">
                  <c:v>massflow - smoothed - time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ROI_ROI_Pinj_800_bar!$E$2:$E$1000</c:f>
              <c:numCache>
                <c:formatCode>General</c:formatCode>
                <c:ptCount val="999"/>
                <c:pt idx="0">
                  <c:v>0</c:v>
                </c:pt>
                <c:pt idx="1">
                  <c:v>1.0000000000000009E-2</c:v>
                </c:pt>
                <c:pt idx="2">
                  <c:v>2.0000000000000018E-2</c:v>
                </c:pt>
                <c:pt idx="3">
                  <c:v>3.0000000000000027E-2</c:v>
                </c:pt>
                <c:pt idx="4">
                  <c:v>4.0000000000000036E-2</c:v>
                </c:pt>
                <c:pt idx="5">
                  <c:v>5.0000000000000044E-2</c:v>
                </c:pt>
                <c:pt idx="6">
                  <c:v>6.0000000000000053E-2</c:v>
                </c:pt>
                <c:pt idx="7">
                  <c:v>7.0000000000000062E-2</c:v>
                </c:pt>
                <c:pt idx="8">
                  <c:v>8.0000000000000071E-2</c:v>
                </c:pt>
                <c:pt idx="9">
                  <c:v>9.000000000000008E-2</c:v>
                </c:pt>
                <c:pt idx="10">
                  <c:v>0.10000000000000009</c:v>
                </c:pt>
                <c:pt idx="11">
                  <c:v>0.1100000000000001</c:v>
                </c:pt>
                <c:pt idx="12">
                  <c:v>0.12000000000000011</c:v>
                </c:pt>
                <c:pt idx="13">
                  <c:v>0.13000000000000012</c:v>
                </c:pt>
                <c:pt idx="14">
                  <c:v>0.14000000000000012</c:v>
                </c:pt>
                <c:pt idx="15">
                  <c:v>0.15000000000000013</c:v>
                </c:pt>
                <c:pt idx="16">
                  <c:v>0.16000000000000014</c:v>
                </c:pt>
                <c:pt idx="17">
                  <c:v>0.17000000000000015</c:v>
                </c:pt>
                <c:pt idx="18">
                  <c:v>0.18000000000000016</c:v>
                </c:pt>
                <c:pt idx="19">
                  <c:v>0.19000000000000017</c:v>
                </c:pt>
                <c:pt idx="20">
                  <c:v>0.20000000000000018</c:v>
                </c:pt>
                <c:pt idx="21">
                  <c:v>0.21000000000000019</c:v>
                </c:pt>
                <c:pt idx="22">
                  <c:v>0.2200000000000002</c:v>
                </c:pt>
                <c:pt idx="23">
                  <c:v>0.2300000000000002</c:v>
                </c:pt>
                <c:pt idx="24">
                  <c:v>0.24000000000000021</c:v>
                </c:pt>
                <c:pt idx="25">
                  <c:v>0.25000000000000022</c:v>
                </c:pt>
                <c:pt idx="26">
                  <c:v>0.26000000000000023</c:v>
                </c:pt>
                <c:pt idx="27">
                  <c:v>0.27000000000000024</c:v>
                </c:pt>
                <c:pt idx="28">
                  <c:v>0.28000000000000025</c:v>
                </c:pt>
                <c:pt idx="29">
                  <c:v>0.29000000000000026</c:v>
                </c:pt>
                <c:pt idx="30">
                  <c:v>0.30000000000000027</c:v>
                </c:pt>
                <c:pt idx="31">
                  <c:v>0.31000000000000028</c:v>
                </c:pt>
                <c:pt idx="32">
                  <c:v>0.32000000000000028</c:v>
                </c:pt>
                <c:pt idx="33">
                  <c:v>0.33000000000000029</c:v>
                </c:pt>
                <c:pt idx="34">
                  <c:v>0.3400000000000003</c:v>
                </c:pt>
                <c:pt idx="35">
                  <c:v>0.35000000000000031</c:v>
                </c:pt>
                <c:pt idx="36">
                  <c:v>0.36000000000000032</c:v>
                </c:pt>
                <c:pt idx="37">
                  <c:v>0.37000000000000033</c:v>
                </c:pt>
                <c:pt idx="38">
                  <c:v>0.38000000000000034</c:v>
                </c:pt>
                <c:pt idx="39">
                  <c:v>0.39000000000000035</c:v>
                </c:pt>
                <c:pt idx="40">
                  <c:v>0.40000000000000036</c:v>
                </c:pt>
                <c:pt idx="41">
                  <c:v>0.41000000000000036</c:v>
                </c:pt>
                <c:pt idx="42">
                  <c:v>0.42000000000000037</c:v>
                </c:pt>
                <c:pt idx="43">
                  <c:v>0.43000000000000038</c:v>
                </c:pt>
                <c:pt idx="44">
                  <c:v>0.44000000000000039</c:v>
                </c:pt>
                <c:pt idx="45">
                  <c:v>0.4500000000000004</c:v>
                </c:pt>
                <c:pt idx="46">
                  <c:v>0.46000000000000041</c:v>
                </c:pt>
                <c:pt idx="47">
                  <c:v>0.47000000000000042</c:v>
                </c:pt>
                <c:pt idx="48">
                  <c:v>0.48000000000000043</c:v>
                </c:pt>
                <c:pt idx="49">
                  <c:v>0.49000000000000044</c:v>
                </c:pt>
                <c:pt idx="50">
                  <c:v>0.50000000000000044</c:v>
                </c:pt>
                <c:pt idx="51">
                  <c:v>0.51000000000000045</c:v>
                </c:pt>
                <c:pt idx="52">
                  <c:v>0.52000000000000046</c:v>
                </c:pt>
                <c:pt idx="53">
                  <c:v>0.53000000000000047</c:v>
                </c:pt>
                <c:pt idx="54">
                  <c:v>0.54000000000000048</c:v>
                </c:pt>
                <c:pt idx="55">
                  <c:v>0.55000000000000049</c:v>
                </c:pt>
                <c:pt idx="56">
                  <c:v>0.5600000000000005</c:v>
                </c:pt>
                <c:pt idx="57">
                  <c:v>0.57000000000000051</c:v>
                </c:pt>
                <c:pt idx="58">
                  <c:v>0.58000000000000052</c:v>
                </c:pt>
                <c:pt idx="59">
                  <c:v>0.59000000000000052</c:v>
                </c:pt>
                <c:pt idx="60">
                  <c:v>0.60000000000000053</c:v>
                </c:pt>
                <c:pt idx="61">
                  <c:v>0.61000000000000054</c:v>
                </c:pt>
                <c:pt idx="62">
                  <c:v>0.62000000000000055</c:v>
                </c:pt>
                <c:pt idx="63">
                  <c:v>0.63000000000000056</c:v>
                </c:pt>
                <c:pt idx="64">
                  <c:v>0.64000000000000057</c:v>
                </c:pt>
                <c:pt idx="65">
                  <c:v>0.65000000000000058</c:v>
                </c:pt>
                <c:pt idx="66">
                  <c:v>0.66000000000000059</c:v>
                </c:pt>
                <c:pt idx="67">
                  <c:v>0.6700000000000006</c:v>
                </c:pt>
                <c:pt idx="68">
                  <c:v>0.6800000000000006</c:v>
                </c:pt>
                <c:pt idx="69">
                  <c:v>0.69000000000000061</c:v>
                </c:pt>
                <c:pt idx="70">
                  <c:v>0.70000000000000062</c:v>
                </c:pt>
                <c:pt idx="71">
                  <c:v>0.71000000000000063</c:v>
                </c:pt>
                <c:pt idx="72">
                  <c:v>0.72000000000000064</c:v>
                </c:pt>
                <c:pt idx="73">
                  <c:v>0.73000000000000065</c:v>
                </c:pt>
                <c:pt idx="74">
                  <c:v>0.74000000000000066</c:v>
                </c:pt>
                <c:pt idx="75">
                  <c:v>0.75000000000000067</c:v>
                </c:pt>
                <c:pt idx="76">
                  <c:v>0.76000000000000068</c:v>
                </c:pt>
              </c:numCache>
            </c:numRef>
          </c:xVal>
          <c:yVal>
            <c:numRef>
              <c:f>ROI_ROI_Pinj_800_bar!$F$2:$F$1000</c:f>
              <c:numCache>
                <c:formatCode>General</c:formatCode>
                <c:ptCount val="999"/>
                <c:pt idx="0">
                  <c:v>0</c:v>
                </c:pt>
                <c:pt idx="1">
                  <c:v>0.14734360399999999</c:v>
                </c:pt>
                <c:pt idx="2">
                  <c:v>0.88676573400000003</c:v>
                </c:pt>
                <c:pt idx="3">
                  <c:v>1.8749151470000001</c:v>
                </c:pt>
                <c:pt idx="4">
                  <c:v>2.995953262</c:v>
                </c:pt>
                <c:pt idx="5">
                  <c:v>4.2047959559999999</c:v>
                </c:pt>
                <c:pt idx="6">
                  <c:v>5.421401693</c:v>
                </c:pt>
                <c:pt idx="7">
                  <c:v>6.8303359349999999</c:v>
                </c:pt>
                <c:pt idx="8">
                  <c:v>8.2082471189999993</c:v>
                </c:pt>
                <c:pt idx="9">
                  <c:v>9.3477630640000005</c:v>
                </c:pt>
                <c:pt idx="10">
                  <c:v>10.17308534</c:v>
                </c:pt>
                <c:pt idx="11">
                  <c:v>10.8503212</c:v>
                </c:pt>
                <c:pt idx="12">
                  <c:v>11.43002302</c:v>
                </c:pt>
                <c:pt idx="13">
                  <c:v>11.93084228</c:v>
                </c:pt>
                <c:pt idx="14">
                  <c:v>12.477473059999999</c:v>
                </c:pt>
                <c:pt idx="15">
                  <c:v>13.067786679999999</c:v>
                </c:pt>
                <c:pt idx="16">
                  <c:v>13.637513179999999</c:v>
                </c:pt>
                <c:pt idx="17">
                  <c:v>14.160739449999999</c:v>
                </c:pt>
                <c:pt idx="18">
                  <c:v>14.704591669999999</c:v>
                </c:pt>
                <c:pt idx="19">
                  <c:v>15.20096526</c:v>
                </c:pt>
                <c:pt idx="20">
                  <c:v>15.659061660000001</c:v>
                </c:pt>
                <c:pt idx="21">
                  <c:v>16.14153782</c:v>
                </c:pt>
                <c:pt idx="22">
                  <c:v>16.639204679999999</c:v>
                </c:pt>
                <c:pt idx="23">
                  <c:v>17.092890659999998</c:v>
                </c:pt>
                <c:pt idx="24">
                  <c:v>17.583612729999999</c:v>
                </c:pt>
                <c:pt idx="25">
                  <c:v>18.096346279999999</c:v>
                </c:pt>
                <c:pt idx="26">
                  <c:v>18.5159761</c:v>
                </c:pt>
                <c:pt idx="27">
                  <c:v>18.868469399999999</c:v>
                </c:pt>
                <c:pt idx="28">
                  <c:v>19.24800145</c:v>
                </c:pt>
                <c:pt idx="29">
                  <c:v>19.613008180000001</c:v>
                </c:pt>
                <c:pt idx="30">
                  <c:v>19.938813549999999</c:v>
                </c:pt>
                <c:pt idx="31">
                  <c:v>20.28534582</c:v>
                </c:pt>
                <c:pt idx="32">
                  <c:v>20.620718589999999</c:v>
                </c:pt>
                <c:pt idx="33">
                  <c:v>20.884779730000002</c:v>
                </c:pt>
                <c:pt idx="34">
                  <c:v>21.075205740000001</c:v>
                </c:pt>
                <c:pt idx="35">
                  <c:v>21.237676189999998</c:v>
                </c:pt>
                <c:pt idx="36">
                  <c:v>21.352482290000001</c:v>
                </c:pt>
                <c:pt idx="37">
                  <c:v>21.440360139999999</c:v>
                </c:pt>
                <c:pt idx="38">
                  <c:v>21.523028549999999</c:v>
                </c:pt>
                <c:pt idx="39">
                  <c:v>21.619095389999998</c:v>
                </c:pt>
                <c:pt idx="40">
                  <c:v>21.713422049999998</c:v>
                </c:pt>
                <c:pt idx="41">
                  <c:v>21.775124219999999</c:v>
                </c:pt>
                <c:pt idx="42">
                  <c:v>21.82827996</c:v>
                </c:pt>
                <c:pt idx="43">
                  <c:v>21.82823994</c:v>
                </c:pt>
                <c:pt idx="44">
                  <c:v>21.792269539999999</c:v>
                </c:pt>
                <c:pt idx="45">
                  <c:v>21.83201803</c:v>
                </c:pt>
                <c:pt idx="46">
                  <c:v>21.862981510000001</c:v>
                </c:pt>
                <c:pt idx="47">
                  <c:v>21.83815401</c:v>
                </c:pt>
                <c:pt idx="48">
                  <c:v>21.845751029999999</c:v>
                </c:pt>
                <c:pt idx="49">
                  <c:v>21.829692919999999</c:v>
                </c:pt>
                <c:pt idx="50">
                  <c:v>21.767663760000001</c:v>
                </c:pt>
                <c:pt idx="51">
                  <c:v>21.792775710000001</c:v>
                </c:pt>
                <c:pt idx="52">
                  <c:v>21.863932420000001</c:v>
                </c:pt>
                <c:pt idx="53">
                  <c:v>21.920086659999999</c:v>
                </c:pt>
                <c:pt idx="54">
                  <c:v>21.959880850000001</c:v>
                </c:pt>
                <c:pt idx="55">
                  <c:v>21.908528329999999</c:v>
                </c:pt>
                <c:pt idx="56">
                  <c:v>21.762101600000001</c:v>
                </c:pt>
                <c:pt idx="57">
                  <c:v>21.64071139</c:v>
                </c:pt>
                <c:pt idx="58">
                  <c:v>21.54645438</c:v>
                </c:pt>
                <c:pt idx="59">
                  <c:v>21.381948950000002</c:v>
                </c:pt>
                <c:pt idx="60">
                  <c:v>21.046013009999999</c:v>
                </c:pt>
                <c:pt idx="61">
                  <c:v>20.49084642</c:v>
                </c:pt>
                <c:pt idx="62">
                  <c:v>19.709230569999999</c:v>
                </c:pt>
                <c:pt idx="63">
                  <c:v>18.813272959999999</c:v>
                </c:pt>
                <c:pt idx="64">
                  <c:v>17.77648035</c:v>
                </c:pt>
                <c:pt idx="65">
                  <c:v>16.52040002</c:v>
                </c:pt>
                <c:pt idx="66">
                  <c:v>14.90037935</c:v>
                </c:pt>
                <c:pt idx="67">
                  <c:v>12.81673281</c:v>
                </c:pt>
                <c:pt idx="68">
                  <c:v>10.372247570000001</c:v>
                </c:pt>
                <c:pt idx="69">
                  <c:v>7.8596869119999999</c:v>
                </c:pt>
                <c:pt idx="70">
                  <c:v>5.421401693</c:v>
                </c:pt>
                <c:pt idx="71">
                  <c:v>4.2047959559999999</c:v>
                </c:pt>
                <c:pt idx="72">
                  <c:v>2.995953262</c:v>
                </c:pt>
                <c:pt idx="73">
                  <c:v>1.8749151470000001</c:v>
                </c:pt>
                <c:pt idx="74">
                  <c:v>0.88676573400000003</c:v>
                </c:pt>
                <c:pt idx="75">
                  <c:v>0.14734360399999999</c:v>
                </c:pt>
                <c:pt idx="7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D8-4679-8A78-F1F93E2FD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24768"/>
        <c:axId val="232226408"/>
      </c:scatterChart>
      <c:valAx>
        <c:axId val="23222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2226408"/>
        <c:crosses val="autoZero"/>
        <c:crossBetween val="midCat"/>
      </c:valAx>
      <c:valAx>
        <c:axId val="232226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222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16" fmlaLink="C7" horiz="1" inc="3" max="40" noThreeD="1" page="3" val="12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16" noThreeD="1" sel="0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Drop" dropLines="3" dropStyle="combo" dx="22" fmlaLink="$E$9" noThreeD="1" sel="1" val="0">
  <itemLst>
    <item val="EXP_VAP_78060_160_12R_RS"/>
    <item val="FIR_DC_Sc09_Chal_MZM_off_fl2"/>
    <item val="FIR_2D_all_DC_Sc09"/>
  </itemLst>
</formControlPr>
</file>

<file path=xl/ctrlProps/ctrlProp26.xml><?xml version="1.0" encoding="utf-8"?>
<formControlPr xmlns="http://schemas.microsoft.com/office/spreadsheetml/2009/9/main" objectType="Drop" dropLines="3" dropStyle="combo" dx="22" fmlaLink="$E$10" noThreeD="1" sel="3" val="0">
  <itemLst>
    <item val="EXP_VAP_78060_160_12R_RS"/>
    <item val="FIR_DC_Sc09_Chal_MZM_off_fl2"/>
    <item val="FIR_2D_all_DC_Sc09"/>
  </itemLst>
</formControlPr>
</file>

<file path=xl/ctrlProps/ctrlProp27.xml><?xml version="1.0" encoding="utf-8"?>
<formControlPr xmlns="http://schemas.microsoft.com/office/spreadsheetml/2009/9/main" objectType="Drop" dropLines="3" dropStyle="combo" dx="22" fmlaLink="$E$11" noThreeD="1" sel="2" val="0">
  <itemLst>
    <item val="EXP_VAP_78060_160_12R_RS"/>
    <item val="FIR_DC_Sc09_Chal_MZM_off_fl2"/>
    <item val="FIR_2D_all_DC_Sc09"/>
  </itemLst>
</formControlPr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Scroll" dx="16" fmlaLink="C7" horiz="1" max="15" noThreeD="1" page="0" val="3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Lines="2" dropStyle="combo" dx="16" fmlaLink="H8" noThreeD="1" sel="1" val="0">
  <itemLst>
    <item val="ROI analysis"/>
    <item val="ROI analysis"/>
  </itemLst>
</formControlPr>
</file>

<file path=xl/ctrlProps/ctrlProp3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</xdr:row>
          <xdr:rowOff>0</xdr:rowOff>
        </xdr:from>
        <xdr:to>
          <xdr:col>3</xdr:col>
          <xdr:colOff>752475</xdr:colOff>
          <xdr:row>6</xdr:row>
          <xdr:rowOff>0</xdr:rowOff>
        </xdr:to>
        <xdr:sp macro="" textlink="">
          <xdr:nvSpPr>
            <xdr:cNvPr id="2049" name="slider_ima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4</xdr:row>
          <xdr:rowOff>152400</xdr:rowOff>
        </xdr:from>
        <xdr:to>
          <xdr:col>8</xdr:col>
          <xdr:colOff>990600</xdr:colOff>
          <xdr:row>6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Diagram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1476375</xdr:colOff>
          <xdr:row>11</xdr:row>
          <xdr:rowOff>95250</xdr:rowOff>
        </xdr:from>
        <xdr:to>
          <xdr:col>12</xdr:col>
          <xdr:colOff>3971925</xdr:colOff>
          <xdr:row>11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Autogenerate above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742950</xdr:colOff>
          <xdr:row>6</xdr:row>
          <xdr:rowOff>19050</xdr:rowOff>
        </xdr:from>
        <xdr:to>
          <xdr:col>15</xdr:col>
          <xdr:colOff>752475</xdr:colOff>
          <xdr:row>11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Imageview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8</xdr:row>
          <xdr:rowOff>47625</xdr:rowOff>
        </xdr:from>
        <xdr:to>
          <xdr:col>6</xdr:col>
          <xdr:colOff>990600</xdr:colOff>
          <xdr:row>10</xdr:row>
          <xdr:rowOff>152400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diagram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1009650</xdr:colOff>
          <xdr:row>8</xdr:row>
          <xdr:rowOff>9525</xdr:rowOff>
        </xdr:to>
        <xdr:sp macro="" textlink="">
          <xdr:nvSpPr>
            <xdr:cNvPr id="2067" name="Drop Dow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9525</xdr:rowOff>
        </xdr:from>
        <xdr:to>
          <xdr:col>6</xdr:col>
          <xdr:colOff>752475</xdr:colOff>
          <xdr:row>6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4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in ROI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</xdr:row>
          <xdr:rowOff>9525</xdr:rowOff>
        </xdr:from>
        <xdr:to>
          <xdr:col>1</xdr:col>
          <xdr:colOff>1143000</xdr:colOff>
          <xdr:row>15</xdr:row>
          <xdr:rowOff>180975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4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 below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5</xdr:col>
          <xdr:colOff>600075</xdr:colOff>
          <xdr:row>15</xdr:row>
          <xdr:rowOff>180975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4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ROI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6</xdr:row>
          <xdr:rowOff>171450</xdr:rowOff>
        </xdr:from>
        <xdr:to>
          <xdr:col>6</xdr:col>
          <xdr:colOff>752475</xdr:colOff>
          <xdr:row>9</xdr:row>
          <xdr:rowOff>171450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4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Diagrams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7</xdr:row>
          <xdr:rowOff>133350</xdr:rowOff>
        </xdr:from>
        <xdr:to>
          <xdr:col>5</xdr:col>
          <xdr:colOff>2105025</xdr:colOff>
          <xdr:row>8</xdr:row>
          <xdr:rowOff>142875</xdr:rowOff>
        </xdr:to>
        <xdr:sp macro="" textlink="">
          <xdr:nvSpPr>
            <xdr:cNvPr id="24583" name="DIP_COR_folder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5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6</xdr:row>
          <xdr:rowOff>57150</xdr:rowOff>
        </xdr:from>
        <xdr:to>
          <xdr:col>5</xdr:col>
          <xdr:colOff>2095500</xdr:colOff>
          <xdr:row>7</xdr:row>
          <xdr:rowOff>66675</xdr:rowOff>
        </xdr:to>
        <xdr:sp macro="" textlink="">
          <xdr:nvSpPr>
            <xdr:cNvPr id="24584" name="DIP_COR_file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5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7</xdr:row>
          <xdr:rowOff>133350</xdr:rowOff>
        </xdr:from>
        <xdr:to>
          <xdr:col>3</xdr:col>
          <xdr:colOff>2066925</xdr:colOff>
          <xdr:row>8</xdr:row>
          <xdr:rowOff>142875</xdr:rowOff>
        </xdr:to>
        <xdr:sp macro="" textlink="">
          <xdr:nvSpPr>
            <xdr:cNvPr id="24585" name="DIP_FIR_folder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5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6</xdr:row>
          <xdr:rowOff>57150</xdr:rowOff>
        </xdr:from>
        <xdr:to>
          <xdr:col>3</xdr:col>
          <xdr:colOff>2057400</xdr:colOff>
          <xdr:row>7</xdr:row>
          <xdr:rowOff>66675</xdr:rowOff>
        </xdr:to>
        <xdr:sp macro="" textlink="">
          <xdr:nvSpPr>
            <xdr:cNvPr id="24586" name="DIP_FIR_file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5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</xdr:row>
          <xdr:rowOff>66675</xdr:rowOff>
        </xdr:from>
        <xdr:to>
          <xdr:col>1</xdr:col>
          <xdr:colOff>2085975</xdr:colOff>
          <xdr:row>7</xdr:row>
          <xdr:rowOff>76200</xdr:rowOff>
        </xdr:to>
        <xdr:sp macro="" textlink="">
          <xdr:nvSpPr>
            <xdr:cNvPr id="24588" name="DIP_EXP_file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5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7</xdr:row>
          <xdr:rowOff>123825</xdr:rowOff>
        </xdr:from>
        <xdr:to>
          <xdr:col>7</xdr:col>
          <xdr:colOff>2095500</xdr:colOff>
          <xdr:row>8</xdr:row>
          <xdr:rowOff>133350</xdr:rowOff>
        </xdr:to>
        <xdr:sp macro="" textlink="">
          <xdr:nvSpPr>
            <xdr:cNvPr id="24589" name="DIP_QAL_folder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5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6</xdr:row>
          <xdr:rowOff>47625</xdr:rowOff>
        </xdr:from>
        <xdr:to>
          <xdr:col>7</xdr:col>
          <xdr:colOff>2085975</xdr:colOff>
          <xdr:row>7</xdr:row>
          <xdr:rowOff>57150</xdr:rowOff>
        </xdr:to>
        <xdr:sp macro="" textlink="">
          <xdr:nvSpPr>
            <xdr:cNvPr id="24590" name="DIP_QAL_file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5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7</xdr:row>
          <xdr:rowOff>133350</xdr:rowOff>
        </xdr:from>
        <xdr:to>
          <xdr:col>1</xdr:col>
          <xdr:colOff>2095500</xdr:colOff>
          <xdr:row>8</xdr:row>
          <xdr:rowOff>142875</xdr:rowOff>
        </xdr:to>
        <xdr:sp macro="" textlink="">
          <xdr:nvSpPr>
            <xdr:cNvPr id="24591" name="DIP_EXP_folder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5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0</xdr:row>
          <xdr:rowOff>85725</xdr:rowOff>
        </xdr:from>
        <xdr:to>
          <xdr:col>12</xdr:col>
          <xdr:colOff>104775</xdr:colOff>
          <xdr:row>2</xdr:row>
          <xdr:rowOff>114300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5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76200</xdr:rowOff>
        </xdr:from>
        <xdr:to>
          <xdr:col>4</xdr:col>
          <xdr:colOff>666750</xdr:colOff>
          <xdr:row>1</xdr:row>
          <xdr:rowOff>114300</xdr:rowOff>
        </xdr:to>
        <xdr:sp macro="" textlink="">
          <xdr:nvSpPr>
            <xdr:cNvPr id="29371" name="Button 699" hidden="1">
              <a:extLst>
                <a:ext uri="{63B3BB69-23CF-44E3-9099-C40C66FF867C}">
                  <a14:compatExt spid="_x0000_s29371"/>
                </a:ext>
                <a:ext uri="{FF2B5EF4-FFF2-40B4-BE49-F238E27FC236}">
                  <a16:creationId xmlns:a16="http://schemas.microsoft.com/office/drawing/2014/main" id="{00000000-0008-0000-0600-0000BB7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controls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0</xdr:row>
          <xdr:rowOff>85725</xdr:rowOff>
        </xdr:from>
        <xdr:to>
          <xdr:col>22</xdr:col>
          <xdr:colOff>542925</xdr:colOff>
          <xdr:row>1</xdr:row>
          <xdr:rowOff>123825</xdr:rowOff>
        </xdr:to>
        <xdr:sp macro="" textlink="">
          <xdr:nvSpPr>
            <xdr:cNvPr id="29384" name="Button 712" hidden="1">
              <a:extLst>
                <a:ext uri="{63B3BB69-23CF-44E3-9099-C40C66FF867C}">
                  <a14:compatExt spid="_x0000_s29384"/>
                </a:ext>
                <a:ext uri="{FF2B5EF4-FFF2-40B4-BE49-F238E27FC236}">
                  <a16:creationId xmlns:a16="http://schemas.microsoft.com/office/drawing/2014/main" id="{00000000-0008-0000-0600-0000C87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7</xdr:row>
          <xdr:rowOff>0</xdr:rowOff>
        </xdr:from>
        <xdr:to>
          <xdr:col>13</xdr:col>
          <xdr:colOff>628650</xdr:colOff>
          <xdr:row>7</xdr:row>
          <xdr:rowOff>180975</xdr:rowOff>
        </xdr:to>
        <xdr:sp macro="" textlink="">
          <xdr:nvSpPr>
            <xdr:cNvPr id="134801" name="button_addline" hidden="1">
              <a:extLst>
                <a:ext uri="{63B3BB69-23CF-44E3-9099-C40C66FF867C}">
                  <a14:compatExt spid="_x0000_s134801"/>
                </a:ext>
                <a:ext uri="{FF2B5EF4-FFF2-40B4-BE49-F238E27FC236}">
                  <a16:creationId xmlns:a16="http://schemas.microsoft.com/office/drawing/2014/main" id="{00000000-0008-0000-0600-0000910E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8</xdr:row>
          <xdr:rowOff>19050</xdr:rowOff>
        </xdr:from>
        <xdr:to>
          <xdr:col>13</xdr:col>
          <xdr:colOff>504825</xdr:colOff>
          <xdr:row>8</xdr:row>
          <xdr:rowOff>171450</xdr:rowOff>
        </xdr:to>
        <xdr:sp macro="" textlink="">
          <xdr:nvSpPr>
            <xdr:cNvPr id="135098" name="button_deleteline 3" hidden="1">
              <a:extLst>
                <a:ext uri="{63B3BB69-23CF-44E3-9099-C40C66FF867C}">
                  <a14:compatExt spid="_x0000_s135098"/>
                </a:ext>
                <a:ext uri="{FF2B5EF4-FFF2-40B4-BE49-F238E27FC236}">
                  <a16:creationId xmlns:a16="http://schemas.microsoft.com/office/drawing/2014/main" id="{00000000-0008-0000-0600-0000BA0F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9</xdr:row>
          <xdr:rowOff>19050</xdr:rowOff>
        </xdr:from>
        <xdr:to>
          <xdr:col>13</xdr:col>
          <xdr:colOff>504825</xdr:colOff>
          <xdr:row>9</xdr:row>
          <xdr:rowOff>171450</xdr:rowOff>
        </xdr:to>
        <xdr:sp macro="" textlink="">
          <xdr:nvSpPr>
            <xdr:cNvPr id="138539" name="button_deleteline 6" hidden="1">
              <a:extLst>
                <a:ext uri="{63B3BB69-23CF-44E3-9099-C40C66FF867C}">
                  <a14:compatExt spid="_x0000_s138539"/>
                </a:ext>
                <a:ext uri="{FF2B5EF4-FFF2-40B4-BE49-F238E27FC236}">
                  <a16:creationId xmlns:a16="http://schemas.microsoft.com/office/drawing/2014/main" id="{00000000-0008-0000-0600-00002B1D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19050</xdr:rowOff>
        </xdr:from>
        <xdr:to>
          <xdr:col>5</xdr:col>
          <xdr:colOff>752475</xdr:colOff>
          <xdr:row>8</xdr:row>
          <xdr:rowOff>171450</xdr:rowOff>
        </xdr:to>
        <xdr:sp macro="" textlink="">
          <xdr:nvSpPr>
            <xdr:cNvPr id="142581" name="dropdown_line_ 1" hidden="1">
              <a:extLst>
                <a:ext uri="{63B3BB69-23CF-44E3-9099-C40C66FF867C}">
                  <a14:compatExt spid="_x0000_s142581"/>
                </a:ext>
                <a:ext uri="{FF2B5EF4-FFF2-40B4-BE49-F238E27FC236}">
                  <a16:creationId xmlns:a16="http://schemas.microsoft.com/office/drawing/2014/main" id="{00000000-0008-0000-0600-0000F5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19050</xdr:rowOff>
        </xdr:from>
        <xdr:to>
          <xdr:col>5</xdr:col>
          <xdr:colOff>752475</xdr:colOff>
          <xdr:row>9</xdr:row>
          <xdr:rowOff>171450</xdr:rowOff>
        </xdr:to>
        <xdr:sp macro="" textlink="">
          <xdr:nvSpPr>
            <xdr:cNvPr id="142582" name="dropdown_line_ 2" hidden="1">
              <a:extLst>
                <a:ext uri="{63B3BB69-23CF-44E3-9099-C40C66FF867C}">
                  <a14:compatExt spid="_x0000_s142582"/>
                </a:ext>
                <a:ext uri="{FF2B5EF4-FFF2-40B4-BE49-F238E27FC236}">
                  <a16:creationId xmlns:a16="http://schemas.microsoft.com/office/drawing/2014/main" id="{00000000-0008-0000-0600-0000F6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28575</xdr:rowOff>
        </xdr:from>
        <xdr:to>
          <xdr:col>5</xdr:col>
          <xdr:colOff>752475</xdr:colOff>
          <xdr:row>10</xdr:row>
          <xdr:rowOff>180975</xdr:rowOff>
        </xdr:to>
        <xdr:sp macro="" textlink="">
          <xdr:nvSpPr>
            <xdr:cNvPr id="142583" name="dropdown_line_ 3" hidden="1">
              <a:extLst>
                <a:ext uri="{63B3BB69-23CF-44E3-9099-C40C66FF867C}">
                  <a14:compatExt spid="_x0000_s142583"/>
                </a:ext>
                <a:ext uri="{FF2B5EF4-FFF2-40B4-BE49-F238E27FC236}">
                  <a16:creationId xmlns:a16="http://schemas.microsoft.com/office/drawing/2014/main" id="{00000000-0008-0000-0600-0000F7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10</xdr:row>
          <xdr:rowOff>19050</xdr:rowOff>
        </xdr:from>
        <xdr:to>
          <xdr:col>13</xdr:col>
          <xdr:colOff>504825</xdr:colOff>
          <xdr:row>10</xdr:row>
          <xdr:rowOff>171450</xdr:rowOff>
        </xdr:to>
        <xdr:sp macro="" textlink="">
          <xdr:nvSpPr>
            <xdr:cNvPr id="142584" name="button_deleteline 3" hidden="1">
              <a:extLst>
                <a:ext uri="{63B3BB69-23CF-44E3-9099-C40C66FF867C}">
                  <a14:compatExt spid="_x0000_s142584"/>
                </a:ext>
                <a:ext uri="{FF2B5EF4-FFF2-40B4-BE49-F238E27FC236}">
                  <a16:creationId xmlns:a16="http://schemas.microsoft.com/office/drawing/2014/main" id="{00000000-0008-0000-0600-0000F8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752475</xdr:colOff>
          <xdr:row>3</xdr:row>
          <xdr:rowOff>0</xdr:rowOff>
        </xdr:from>
        <xdr:to>
          <xdr:col>22</xdr:col>
          <xdr:colOff>752475</xdr:colOff>
          <xdr:row>5</xdr:row>
          <xdr:rowOff>180975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7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A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267540</xdr:colOff>
      <xdr:row>35</xdr:row>
      <xdr:rowOff>33624</xdr:rowOff>
    </xdr:from>
    <xdr:to>
      <xdr:col>22</xdr:col>
      <xdr:colOff>145676</xdr:colOff>
      <xdr:row>75</xdr:row>
      <xdr:rowOff>100853</xdr:rowOff>
    </xdr:to>
    <xdr:graphicFrame macro="">
      <xdr:nvGraphicFramePr>
        <xdr:cNvPr id="4" name="*RS* Liquid penetration [mm]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</xdr:row>
          <xdr:rowOff>0</xdr:rowOff>
        </xdr:from>
        <xdr:to>
          <xdr:col>3</xdr:col>
          <xdr:colOff>752475</xdr:colOff>
          <xdr:row>6</xdr:row>
          <xdr:rowOff>0</xdr:rowOff>
        </xdr:to>
        <xdr:sp macro="" textlink="">
          <xdr:nvSpPr>
            <xdr:cNvPr id="109569" name="slider_images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8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4</xdr:row>
          <xdr:rowOff>152400</xdr:rowOff>
        </xdr:from>
        <xdr:to>
          <xdr:col>8</xdr:col>
          <xdr:colOff>990600</xdr:colOff>
          <xdr:row>6</xdr:row>
          <xdr:rowOff>76200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08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Diagram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11</xdr:row>
          <xdr:rowOff>95250</xdr:rowOff>
        </xdr:from>
        <xdr:to>
          <xdr:col>13</xdr:col>
          <xdr:colOff>0</xdr:colOff>
          <xdr:row>11</xdr:row>
          <xdr:rowOff>304800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08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Autogenerate above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742950</xdr:colOff>
          <xdr:row>6</xdr:row>
          <xdr:rowOff>19050</xdr:rowOff>
        </xdr:from>
        <xdr:to>
          <xdr:col>15</xdr:col>
          <xdr:colOff>752475</xdr:colOff>
          <xdr:row>11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8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Imageview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8</xdr:row>
          <xdr:rowOff>47625</xdr:rowOff>
        </xdr:from>
        <xdr:to>
          <xdr:col>6</xdr:col>
          <xdr:colOff>990600</xdr:colOff>
          <xdr:row>10</xdr:row>
          <xdr:rowOff>152400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08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diagram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1009650</xdr:colOff>
          <xdr:row>8</xdr:row>
          <xdr:rowOff>9525</xdr:rowOff>
        </xdr:to>
        <xdr:sp macro="" textlink="">
          <xdr:nvSpPr>
            <xdr:cNvPr id="109574" name="MVT_dropdown_diagrams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08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0</xdr:row>
          <xdr:rowOff>57150</xdr:rowOff>
        </xdr:from>
        <xdr:to>
          <xdr:col>15</xdr:col>
          <xdr:colOff>581025</xdr:colOff>
          <xdr:row>0</xdr:row>
          <xdr:rowOff>333375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14</xdr:row>
      <xdr:rowOff>95250</xdr:rowOff>
    </xdr:from>
    <xdr:to>
      <xdr:col>14</xdr:col>
      <xdr:colOff>371475</xdr:colOff>
      <xdr:row>28</xdr:row>
      <xdr:rowOff>171450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60E51517-828F-4F8B-915B-3458D6FE48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mparison_old_ign_del_no_limiter/ToDo/Vorlage_j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Control"/>
      <sheetName val="Emissions"/>
      <sheetName val="Diagrams"/>
      <sheetName val="Diagrams_Layout"/>
      <sheetName val="D_Overview"/>
      <sheetName val="Img_Setup"/>
      <sheetName val="Img_View"/>
      <sheetName val="Img_View_Master"/>
      <sheetName val="Img_Hid"/>
      <sheetName val="A_2766"/>
      <sheetName val="A_2806"/>
      <sheetName val="S_2766"/>
      <sheetName val="S_2806"/>
      <sheetName val="S_2766_cox"/>
      <sheetName val="S_2806_cox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>
        <row r="3">
          <cell r="D3">
            <v>2806</v>
          </cell>
        </row>
      </sheetData>
      <sheetData sheetId="7" refreshError="1"/>
      <sheetData sheetId="8">
        <row r="2">
          <cell r="M2">
            <v>0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queryTables/queryTable1.xml><?xml version="1.0" encoding="utf-8"?>
<queryTable xmlns="http://schemas.openxmlformats.org/spreadsheetml/2006/main" name="ROI_ROI_Pinj_800_bar" connectionId="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rgb="FFFFFFFF"/>
  </sheetPr>
  <dimension ref="A1:V15"/>
  <sheetViews>
    <sheetView zoomScale="85" zoomScaleNormal="85" workbookViewId="0">
      <pane ySplit="15" topLeftCell="A16" activePane="bottomLeft" state="frozen"/>
      <selection activeCell="H49" sqref="H49"/>
      <selection pane="bottomLeft" sqref="A1:XFD2"/>
    </sheetView>
  </sheetViews>
  <sheetFormatPr baseColWidth="10" defaultRowHeight="15" x14ac:dyDescent="0.25"/>
  <cols>
    <col min="1" max="1" width="10.28515625" customWidth="1"/>
    <col min="2" max="2" width="24" customWidth="1"/>
    <col min="3" max="3" width="19.85546875" customWidth="1"/>
    <col min="4" max="4" width="12.28515625" customWidth="1"/>
    <col min="7" max="7" width="20" customWidth="1"/>
    <col min="8" max="8" width="19.7109375" customWidth="1"/>
    <col min="9" max="9" width="18.42578125" customWidth="1"/>
    <col min="12" max="12" width="21.7109375" customWidth="1"/>
    <col min="13" max="13" width="58" customWidth="1"/>
  </cols>
  <sheetData>
    <row r="1" spans="1:22" s="110" customFormat="1" x14ac:dyDescent="0.25">
      <c r="A1" s="107" t="s">
        <v>2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9"/>
    </row>
    <row r="2" spans="1:22" s="110" customFormat="1" x14ac:dyDescent="0.25">
      <c r="A2" s="111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3"/>
    </row>
    <row r="3" spans="1:22" thickBot="1" x14ac:dyDescent="0.35"/>
    <row r="4" spans="1:22" ht="18.600000000000001" thickBot="1" x14ac:dyDescent="0.4">
      <c r="B4" s="114" t="s">
        <v>3</v>
      </c>
      <c r="C4" s="115"/>
      <c r="D4" s="116"/>
      <c r="G4" s="114" t="s">
        <v>4</v>
      </c>
      <c r="H4" s="115"/>
      <c r="I4" s="116"/>
      <c r="L4" s="117" t="s">
        <v>5</v>
      </c>
      <c r="M4" s="118"/>
      <c r="N4" s="118"/>
      <c r="O4" s="118"/>
      <c r="P4" s="118"/>
      <c r="Q4" s="119"/>
    </row>
    <row r="5" spans="1:22" ht="14.45" x14ac:dyDescent="0.3">
      <c r="B5" s="3"/>
      <c r="C5" s="4"/>
      <c r="D5" s="5"/>
      <c r="G5" s="3"/>
      <c r="H5" s="4"/>
      <c r="I5" s="5"/>
      <c r="L5" s="3"/>
      <c r="M5" s="4"/>
      <c r="N5" s="4"/>
      <c r="O5" s="4"/>
      <c r="P5" s="4"/>
      <c r="Q5" s="5"/>
    </row>
    <row r="6" spans="1:22" ht="18.75" customHeight="1" x14ac:dyDescent="0.3">
      <c r="B6" s="3"/>
      <c r="C6" s="4"/>
      <c r="D6" s="5"/>
      <c r="F6" s="6"/>
      <c r="G6" s="3"/>
      <c r="H6" s="4"/>
      <c r="I6" s="5"/>
      <c r="K6" s="6"/>
      <c r="L6" s="3"/>
      <c r="M6" s="4"/>
      <c r="N6" s="4"/>
      <c r="O6" s="4"/>
      <c r="P6" s="4"/>
      <c r="Q6" s="5"/>
    </row>
    <row r="7" spans="1:22" ht="14.45" x14ac:dyDescent="0.3">
      <c r="B7" s="3"/>
      <c r="C7" s="7">
        <v>12</v>
      </c>
      <c r="D7" s="5"/>
      <c r="F7" s="6"/>
      <c r="G7" s="8"/>
      <c r="H7" s="4"/>
      <c r="I7" s="5"/>
      <c r="K7" s="6"/>
      <c r="L7" s="3"/>
      <c r="M7" s="4"/>
      <c r="N7" s="4"/>
      <c r="O7" s="4"/>
      <c r="P7" s="4"/>
      <c r="Q7" s="5"/>
    </row>
    <row r="8" spans="1:22" ht="14.45" x14ac:dyDescent="0.3">
      <c r="B8" s="9" t="s">
        <v>6</v>
      </c>
      <c r="C8" s="10">
        <v>-20</v>
      </c>
      <c r="D8" s="5" t="s">
        <v>7</v>
      </c>
      <c r="F8" s="6"/>
      <c r="G8" s="3" t="s">
        <v>220</v>
      </c>
      <c r="H8" s="4"/>
      <c r="I8" s="5"/>
      <c r="K8" s="6"/>
      <c r="L8" s="3" t="s">
        <v>8</v>
      </c>
      <c r="M8" s="10" t="s">
        <v>219</v>
      </c>
      <c r="N8" s="4"/>
      <c r="O8" s="4"/>
      <c r="P8" s="4"/>
      <c r="Q8" s="5"/>
    </row>
    <row r="9" spans="1:22" ht="14.45" x14ac:dyDescent="0.3">
      <c r="B9" s="9" t="s">
        <v>9</v>
      </c>
      <c r="C9" s="10">
        <v>20</v>
      </c>
      <c r="D9" s="5" t="s">
        <v>7</v>
      </c>
      <c r="F9" s="6"/>
      <c r="G9" s="3"/>
      <c r="H9" s="4"/>
      <c r="I9" s="5"/>
      <c r="K9" s="6"/>
      <c r="L9" s="3" t="s">
        <v>10</v>
      </c>
      <c r="M9" s="10" t="s">
        <v>218</v>
      </c>
      <c r="N9" s="4"/>
      <c r="O9" s="4"/>
      <c r="P9" s="4"/>
      <c r="Q9" s="5"/>
    </row>
    <row r="10" spans="1:22" ht="14.45" x14ac:dyDescent="0.3">
      <c r="B10" s="9" t="s">
        <v>23</v>
      </c>
      <c r="C10" s="11">
        <v>1</v>
      </c>
      <c r="D10" s="5" t="s">
        <v>28</v>
      </c>
      <c r="F10" s="6"/>
      <c r="G10" s="3"/>
      <c r="H10" s="4"/>
      <c r="I10" s="5"/>
      <c r="K10" s="6"/>
      <c r="L10" s="3" t="s">
        <v>11</v>
      </c>
      <c r="M10" s="10">
        <v>720</v>
      </c>
      <c r="N10" s="4"/>
      <c r="O10" s="4"/>
      <c r="P10" s="4"/>
      <c r="Q10" s="5"/>
    </row>
    <row r="11" spans="1:22" thickBot="1" x14ac:dyDescent="0.35">
      <c r="B11" s="9" t="s">
        <v>12</v>
      </c>
      <c r="C11" s="10">
        <v>3</v>
      </c>
      <c r="D11" s="5" t="s">
        <v>7</v>
      </c>
      <c r="F11" s="6"/>
      <c r="G11" s="3"/>
      <c r="H11" s="4"/>
      <c r="I11" s="5"/>
      <c r="K11" s="6"/>
      <c r="L11" s="3" t="s">
        <v>13</v>
      </c>
      <c r="M11" s="10" t="s">
        <v>22</v>
      </c>
      <c r="N11" s="4"/>
      <c r="O11" s="4"/>
      <c r="P11" s="4"/>
      <c r="Q11" s="5"/>
    </row>
    <row r="12" spans="1:22" ht="27" customHeight="1" thickBot="1" x14ac:dyDescent="0.35">
      <c r="B12" s="12" t="s">
        <v>14</v>
      </c>
      <c r="C12" s="13">
        <f>(C7-ABS(C8))/C10</f>
        <v>-8</v>
      </c>
      <c r="D12" s="14">
        <f>(C7-ABS(C8))/C10</f>
        <v>-8</v>
      </c>
      <c r="E12" s="15"/>
      <c r="F12" s="6"/>
      <c r="G12" s="16"/>
      <c r="H12" s="17"/>
      <c r="I12" s="19">
        <v>1</v>
      </c>
      <c r="K12" s="6"/>
      <c r="L12" s="16"/>
      <c r="M12" s="17"/>
      <c r="N12" s="17"/>
      <c r="O12" s="17"/>
      <c r="P12" s="17"/>
      <c r="Q12" s="18"/>
    </row>
    <row r="13" spans="1:22" ht="15.75" customHeight="1" x14ac:dyDescent="0.3">
      <c r="C13" s="2">
        <f>C12</f>
        <v>-8</v>
      </c>
    </row>
    <row r="14" spans="1:22" s="110" customFormat="1" x14ac:dyDescent="0.25">
      <c r="A14" s="107" t="s">
        <v>15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9"/>
    </row>
    <row r="15" spans="1:22" s="110" customFormat="1" x14ac:dyDescent="0.25">
      <c r="A15" s="111"/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3"/>
    </row>
  </sheetData>
  <mergeCells count="5">
    <mergeCell ref="A1:XFD2"/>
    <mergeCell ref="B4:D4"/>
    <mergeCell ref="G4:I4"/>
    <mergeCell ref="A14:XFD15"/>
    <mergeCell ref="L4:Q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lider_images">
              <controlPr defaultSize="0" autoPict="0">
                <anchor moveWithCells="1">
                  <from>
                    <xdr:col>1</xdr:col>
                    <xdr:colOff>76200</xdr:colOff>
                    <xdr:row>5</xdr:row>
                    <xdr:rowOff>0</xdr:rowOff>
                  </from>
                  <to>
                    <xdr:col>3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Multiview_plot">
                <anchor moveWithCells="1" sizeWithCells="1">
                  <from>
                    <xdr:col>6</xdr:col>
                    <xdr:colOff>295275</xdr:colOff>
                    <xdr:row>4</xdr:row>
                    <xdr:rowOff>152400</xdr:rowOff>
                  </from>
                  <to>
                    <xdr:col>8</xdr:col>
                    <xdr:colOff>990600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Image_setpath">
                <anchor moveWithCells="1" sizeWithCells="1">
                  <from>
                    <xdr:col>11</xdr:col>
                    <xdr:colOff>1476375</xdr:colOff>
                    <xdr:row>11</xdr:row>
                    <xdr:rowOff>95250</xdr:rowOff>
                  </from>
                  <to>
                    <xdr:col>12</xdr:col>
                    <xdr:colOff>3971925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Image_Load">
                <anchor moveWithCells="1" sizeWithCells="1">
                  <from>
                    <xdr:col>13</xdr:col>
                    <xdr:colOff>742950</xdr:colOff>
                    <xdr:row>6</xdr:row>
                    <xdr:rowOff>19050</xdr:rowOff>
                  </from>
                  <to>
                    <xdr:col>15</xdr:col>
                    <xdr:colOff>752475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8" name="Button 18">
              <controlPr defaultSize="0" print="0" autoFill="0" autoPict="0" macro="[0]!Schaltfläche18_Klicken">
                <anchor moveWithCells="1" sizeWithCells="1">
                  <from>
                    <xdr:col>6</xdr:col>
                    <xdr:colOff>209550</xdr:colOff>
                    <xdr:row>8</xdr:row>
                    <xdr:rowOff>47625</xdr:rowOff>
                  </from>
                  <to>
                    <xdr:col>6</xdr:col>
                    <xdr:colOff>990600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9" name="Drop Down 19">
              <controlPr defaultSize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1009650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FFFF"/>
  </sheetPr>
  <dimension ref="A1:F3"/>
  <sheetViews>
    <sheetView workbookViewId="0">
      <selection activeCell="E30" sqref="E30"/>
    </sheetView>
  </sheetViews>
  <sheetFormatPr baseColWidth="10" defaultRowHeight="15" x14ac:dyDescent="0.25"/>
  <cols>
    <col min="1" max="1" width="8.28515625" bestFit="1" customWidth="1"/>
    <col min="2" max="2" width="8.28515625" customWidth="1"/>
    <col min="3" max="3" width="22.85546875" bestFit="1" customWidth="1"/>
    <col min="4" max="4" width="36.5703125" customWidth="1"/>
    <col min="5" max="5" width="19.85546875" customWidth="1"/>
  </cols>
  <sheetData>
    <row r="1" spans="1:6" ht="13.9" customHeight="1" x14ac:dyDescent="0.3">
      <c r="A1" s="1" t="s">
        <v>16</v>
      </c>
      <c r="B1" s="1" t="s">
        <v>21</v>
      </c>
      <c r="C1" s="1" t="s">
        <v>17</v>
      </c>
      <c r="D1" s="1" t="s">
        <v>18</v>
      </c>
      <c r="E1" s="1" t="s">
        <v>19</v>
      </c>
      <c r="F1" s="1" t="s">
        <v>20</v>
      </c>
    </row>
    <row r="3" spans="1:6" ht="14.45" x14ac:dyDescent="0.3">
      <c r="B3" s="20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FFFFFF"/>
  </sheetPr>
  <dimension ref="A1:J76"/>
  <sheetViews>
    <sheetView workbookViewId="0">
      <pane ySplit="10" topLeftCell="A20" activePane="bottomLeft" state="frozen"/>
      <selection pane="bottomLeft" activeCell="D30" sqref="D30"/>
    </sheetView>
  </sheetViews>
  <sheetFormatPr baseColWidth="10" defaultRowHeight="15" x14ac:dyDescent="0.25"/>
  <cols>
    <col min="1" max="1" width="42.28515625" customWidth="1"/>
    <col min="2" max="2" width="25.5703125" customWidth="1"/>
    <col min="3" max="3" width="24.42578125" customWidth="1"/>
    <col min="4" max="4" width="18.7109375" style="24" customWidth="1"/>
    <col min="5" max="5" width="7.7109375" style="24" customWidth="1"/>
    <col min="6" max="6" width="43" style="24" customWidth="1"/>
    <col min="7" max="7" width="64.140625" customWidth="1"/>
  </cols>
  <sheetData>
    <row r="1" spans="1:10" ht="25.9" x14ac:dyDescent="0.5">
      <c r="A1" s="21" t="s">
        <v>29</v>
      </c>
      <c r="B1" s="21"/>
      <c r="C1" s="21"/>
      <c r="D1" s="22"/>
      <c r="E1" s="22"/>
      <c r="F1" s="22"/>
      <c r="G1" s="23" t="s">
        <v>145</v>
      </c>
    </row>
    <row r="3" spans="1:10" ht="14.45" x14ac:dyDescent="0.3">
      <c r="A3" t="s">
        <v>30</v>
      </c>
    </row>
    <row r="4" spans="1:10" ht="14.45" x14ac:dyDescent="0.3">
      <c r="A4" t="s">
        <v>31</v>
      </c>
      <c r="B4" s="25"/>
    </row>
    <row r="5" spans="1:10" ht="14.45" x14ac:dyDescent="0.3">
      <c r="A5" t="s">
        <v>32</v>
      </c>
      <c r="B5" s="26"/>
    </row>
    <row r="6" spans="1:10" ht="14.45" x14ac:dyDescent="0.3">
      <c r="A6" t="s">
        <v>33</v>
      </c>
      <c r="B6" s="25"/>
    </row>
    <row r="7" spans="1:10" ht="14.45" x14ac:dyDescent="0.3">
      <c r="A7" t="s">
        <v>34</v>
      </c>
      <c r="B7" s="27"/>
    </row>
    <row r="8" spans="1:10" ht="14.45" x14ac:dyDescent="0.3">
      <c r="A8" t="s">
        <v>35</v>
      </c>
    </row>
    <row r="10" spans="1:10" ht="14.45" x14ac:dyDescent="0.3">
      <c r="A10" s="28" t="s">
        <v>36</v>
      </c>
      <c r="B10" s="28" t="s">
        <v>37</v>
      </c>
      <c r="C10" s="28" t="s">
        <v>38</v>
      </c>
      <c r="D10" s="22" t="s">
        <v>39</v>
      </c>
      <c r="E10" s="22" t="s">
        <v>1</v>
      </c>
      <c r="F10" s="22" t="s">
        <v>40</v>
      </c>
      <c r="G10" s="28" t="s">
        <v>41</v>
      </c>
    </row>
    <row r="13" spans="1:10" ht="14.45" x14ac:dyDescent="0.3">
      <c r="A13" s="29" t="s">
        <v>48</v>
      </c>
      <c r="B13" s="29"/>
      <c r="C13" s="29"/>
      <c r="D13" s="30"/>
      <c r="E13" s="30"/>
      <c r="F13" s="30"/>
      <c r="G13" s="29"/>
      <c r="J13" s="24"/>
    </row>
    <row r="14" spans="1:10" ht="14.45" x14ac:dyDescent="0.3">
      <c r="A14" t="s">
        <v>49</v>
      </c>
      <c r="B14" t="s">
        <v>50</v>
      </c>
      <c r="C14" t="s">
        <v>51</v>
      </c>
      <c r="D14" s="24">
        <v>530</v>
      </c>
      <c r="E14" s="24" t="s">
        <v>52</v>
      </c>
      <c r="F14" s="24" t="s">
        <v>53</v>
      </c>
    </row>
    <row r="15" spans="1:10" ht="14.45" x14ac:dyDescent="0.3">
      <c r="A15" t="s">
        <v>54</v>
      </c>
      <c r="B15" t="s">
        <v>50</v>
      </c>
      <c r="C15" t="s">
        <v>51</v>
      </c>
      <c r="D15" s="24">
        <v>500</v>
      </c>
      <c r="E15" s="24" t="s">
        <v>52</v>
      </c>
      <c r="F15" s="24" t="s">
        <v>53</v>
      </c>
    </row>
    <row r="16" spans="1:10" ht="14.45" x14ac:dyDescent="0.3">
      <c r="A16" t="s">
        <v>55</v>
      </c>
      <c r="B16" t="s">
        <v>50</v>
      </c>
      <c r="C16" t="s">
        <v>51</v>
      </c>
      <c r="D16" s="24">
        <v>470</v>
      </c>
      <c r="E16" s="24" t="s">
        <v>52</v>
      </c>
      <c r="F16" s="24" t="s">
        <v>53</v>
      </c>
    </row>
    <row r="18" spans="1:7" ht="14.45" x14ac:dyDescent="0.3">
      <c r="A18" s="29" t="s">
        <v>56</v>
      </c>
      <c r="B18" s="29"/>
      <c r="C18" s="29"/>
      <c r="D18" s="30"/>
      <c r="E18" s="30"/>
      <c r="F18" s="30"/>
      <c r="G18" s="29"/>
    </row>
    <row r="19" spans="1:7" ht="14.45" x14ac:dyDescent="0.3">
      <c r="A19" t="s">
        <v>57</v>
      </c>
      <c r="B19" s="25" t="s">
        <v>42</v>
      </c>
      <c r="C19" t="s">
        <v>43</v>
      </c>
      <c r="D19" s="24">
        <v>0.19</v>
      </c>
      <c r="E19" s="24" t="s">
        <v>47</v>
      </c>
      <c r="F19" s="24" t="s">
        <v>45</v>
      </c>
    </row>
    <row r="20" spans="1:7" ht="14.45" x14ac:dyDescent="0.3">
      <c r="A20" t="s">
        <v>58</v>
      </c>
      <c r="B20" s="25" t="s">
        <v>42</v>
      </c>
      <c r="C20" t="s">
        <v>43</v>
      </c>
      <c r="D20" s="24">
        <v>0.22</v>
      </c>
      <c r="E20" s="24" t="s">
        <v>47</v>
      </c>
      <c r="F20" s="24" t="s">
        <v>45</v>
      </c>
    </row>
    <row r="21" spans="1:7" ht="14.45" x14ac:dyDescent="0.3">
      <c r="A21" t="s">
        <v>59</v>
      </c>
      <c r="B21" s="25" t="s">
        <v>42</v>
      </c>
      <c r="C21" t="s">
        <v>43</v>
      </c>
      <c r="D21" s="24">
        <v>0.42499999999999999</v>
      </c>
      <c r="E21" s="24" t="s">
        <v>47</v>
      </c>
      <c r="F21" s="24" t="s">
        <v>45</v>
      </c>
    </row>
    <row r="22" spans="1:7" ht="14.45" x14ac:dyDescent="0.3">
      <c r="A22" t="s">
        <v>60</v>
      </c>
      <c r="B22" t="s">
        <v>61</v>
      </c>
      <c r="C22" t="s">
        <v>62</v>
      </c>
      <c r="D22" s="24">
        <v>1500</v>
      </c>
      <c r="E22" s="24" t="s">
        <v>63</v>
      </c>
      <c r="F22" s="24" t="s">
        <v>45</v>
      </c>
    </row>
    <row r="23" spans="1:7" ht="14.45" x14ac:dyDescent="0.3">
      <c r="A23" t="s">
        <v>64</v>
      </c>
      <c r="B23" t="s">
        <v>61</v>
      </c>
      <c r="C23" t="s">
        <v>65</v>
      </c>
      <c r="D23" s="24">
        <v>-200</v>
      </c>
      <c r="E23" s="24" t="s">
        <v>66</v>
      </c>
      <c r="F23" s="24" t="s">
        <v>45</v>
      </c>
      <c r="G23" s="24" t="s">
        <v>67</v>
      </c>
    </row>
    <row r="24" spans="1:7" ht="14.45" x14ac:dyDescent="0.3">
      <c r="A24" t="s">
        <v>68</v>
      </c>
      <c r="B24" t="s">
        <v>61</v>
      </c>
      <c r="C24" t="s">
        <v>69</v>
      </c>
      <c r="D24" s="24">
        <v>127</v>
      </c>
      <c r="E24" s="24" t="s">
        <v>66</v>
      </c>
      <c r="F24" s="24" t="s">
        <v>45</v>
      </c>
      <c r="G24" s="24" t="s">
        <v>67</v>
      </c>
    </row>
    <row r="26" spans="1:7" ht="14.45" x14ac:dyDescent="0.3">
      <c r="A26" s="29" t="s">
        <v>70</v>
      </c>
      <c r="B26" s="29"/>
      <c r="C26" s="29"/>
      <c r="D26" s="30"/>
      <c r="E26" s="30"/>
      <c r="F26" s="30"/>
      <c r="G26" s="29"/>
    </row>
    <row r="27" spans="1:7" ht="14.45" x14ac:dyDescent="0.3">
      <c r="A27" s="25" t="s">
        <v>71</v>
      </c>
      <c r="B27" t="s">
        <v>72</v>
      </c>
      <c r="C27" s="25" t="s">
        <v>71</v>
      </c>
      <c r="D27" s="32"/>
      <c r="E27" s="31" t="s">
        <v>73</v>
      </c>
      <c r="F27" s="24" t="s">
        <v>53</v>
      </c>
      <c r="G27" s="25" t="s">
        <v>74</v>
      </c>
    </row>
    <row r="28" spans="1:7" ht="14.45" x14ac:dyDescent="0.3">
      <c r="A28" s="25" t="s">
        <v>51</v>
      </c>
      <c r="B28" t="s">
        <v>72</v>
      </c>
      <c r="C28" s="25" t="s">
        <v>51</v>
      </c>
      <c r="D28" s="33"/>
      <c r="E28" s="31" t="s">
        <v>52</v>
      </c>
      <c r="F28" s="24" t="s">
        <v>53</v>
      </c>
      <c r="G28" s="25" t="s">
        <v>75</v>
      </c>
    </row>
    <row r="29" spans="1:7" x14ac:dyDescent="0.25">
      <c r="A29" t="s">
        <v>76</v>
      </c>
      <c r="B29" t="s">
        <v>72</v>
      </c>
      <c r="C29" t="s">
        <v>77</v>
      </c>
      <c r="D29" s="24">
        <v>107.6</v>
      </c>
      <c r="E29" s="24" t="s">
        <v>78</v>
      </c>
      <c r="F29" s="24" t="s">
        <v>79</v>
      </c>
      <c r="G29" s="24" t="s">
        <v>80</v>
      </c>
    </row>
    <row r="30" spans="1:7" ht="14.45" x14ac:dyDescent="0.3">
      <c r="A30" t="s">
        <v>81</v>
      </c>
      <c r="B30" t="s">
        <v>72</v>
      </c>
      <c r="C30" t="s">
        <v>82</v>
      </c>
      <c r="D30" s="24">
        <v>7.0000000000000001E-3</v>
      </c>
      <c r="E30" s="24" t="s">
        <v>47</v>
      </c>
      <c r="F30" s="24" t="s">
        <v>79</v>
      </c>
      <c r="G30" s="24" t="s">
        <v>80</v>
      </c>
    </row>
    <row r="31" spans="1:7" ht="14.45" x14ac:dyDescent="0.3">
      <c r="A31" t="s">
        <v>83</v>
      </c>
      <c r="B31" t="s">
        <v>72</v>
      </c>
      <c r="C31" t="s">
        <v>84</v>
      </c>
      <c r="D31" s="24">
        <v>0</v>
      </c>
      <c r="E31" s="24" t="s">
        <v>43</v>
      </c>
      <c r="F31" s="24" t="s">
        <v>45</v>
      </c>
      <c r="G31" s="24"/>
    </row>
    <row r="33" spans="1:7" ht="14.45" x14ac:dyDescent="0.3">
      <c r="A33" s="29" t="s">
        <v>85</v>
      </c>
      <c r="B33" s="29"/>
      <c r="C33" s="29"/>
      <c r="D33" s="30"/>
      <c r="E33" s="30"/>
      <c r="F33" s="30"/>
      <c r="G33" s="29"/>
    </row>
    <row r="34" spans="1:7" ht="14.45" x14ac:dyDescent="0.3">
      <c r="A34" s="25" t="s">
        <v>86</v>
      </c>
      <c r="B34" t="s">
        <v>72</v>
      </c>
      <c r="C34" t="s">
        <v>87</v>
      </c>
      <c r="D34" s="34"/>
      <c r="E34" s="24" t="s">
        <v>43</v>
      </c>
      <c r="F34" s="24" t="s">
        <v>53</v>
      </c>
    </row>
    <row r="35" spans="1:7" ht="14.45" x14ac:dyDescent="0.3">
      <c r="A35" s="25" t="s">
        <v>88</v>
      </c>
      <c r="B35" t="s">
        <v>72</v>
      </c>
      <c r="C35" t="s">
        <v>87</v>
      </c>
      <c r="D35" s="34"/>
      <c r="E35" s="24" t="s">
        <v>43</v>
      </c>
      <c r="F35" s="24" t="s">
        <v>53</v>
      </c>
    </row>
    <row r="36" spans="1:7" x14ac:dyDescent="0.25">
      <c r="A36" s="25" t="s">
        <v>89</v>
      </c>
      <c r="B36" t="s">
        <v>72</v>
      </c>
      <c r="C36" t="s">
        <v>87</v>
      </c>
      <c r="D36" s="34"/>
      <c r="E36" s="24" t="s">
        <v>43</v>
      </c>
      <c r="F36" s="24" t="s">
        <v>53</v>
      </c>
    </row>
    <row r="37" spans="1:7" x14ac:dyDescent="0.25">
      <c r="A37" s="25" t="s">
        <v>90</v>
      </c>
      <c r="B37" t="s">
        <v>72</v>
      </c>
      <c r="C37" t="s">
        <v>87</v>
      </c>
      <c r="D37" s="34"/>
      <c r="E37" s="24" t="s">
        <v>43</v>
      </c>
      <c r="F37" s="24" t="s">
        <v>53</v>
      </c>
    </row>
    <row r="38" spans="1:7" x14ac:dyDescent="0.25">
      <c r="A38" s="25" t="s">
        <v>91</v>
      </c>
      <c r="B38" t="s">
        <v>72</v>
      </c>
      <c r="C38" t="s">
        <v>87</v>
      </c>
      <c r="D38" s="34"/>
      <c r="E38" s="24" t="s">
        <v>43</v>
      </c>
      <c r="F38" s="24" t="s">
        <v>53</v>
      </c>
    </row>
    <row r="39" spans="1:7" x14ac:dyDescent="0.25">
      <c r="A39" s="25" t="s">
        <v>92</v>
      </c>
      <c r="B39" t="s">
        <v>72</v>
      </c>
      <c r="C39" t="s">
        <v>87</v>
      </c>
      <c r="D39" s="34"/>
      <c r="E39" s="24" t="s">
        <v>43</v>
      </c>
      <c r="F39" s="24" t="s">
        <v>53</v>
      </c>
    </row>
    <row r="40" spans="1:7" x14ac:dyDescent="0.25">
      <c r="D40" s="35"/>
    </row>
    <row r="41" spans="1:7" x14ac:dyDescent="0.25">
      <c r="A41" s="29" t="s">
        <v>93</v>
      </c>
      <c r="B41" s="29"/>
      <c r="C41" s="29"/>
      <c r="D41" s="30"/>
      <c r="E41" s="30"/>
      <c r="F41" s="30"/>
      <c r="G41" s="29"/>
    </row>
    <row r="42" spans="1:7" x14ac:dyDescent="0.25">
      <c r="A42" s="25" t="s">
        <v>94</v>
      </c>
      <c r="B42" t="s">
        <v>95</v>
      </c>
      <c r="C42" t="s">
        <v>96</v>
      </c>
      <c r="D42" s="36"/>
      <c r="E42" s="24" t="s">
        <v>66</v>
      </c>
      <c r="F42" s="24" t="s">
        <v>97</v>
      </c>
      <c r="G42" s="25"/>
    </row>
    <row r="43" spans="1:7" x14ac:dyDescent="0.25">
      <c r="A43" s="25" t="s">
        <v>98</v>
      </c>
      <c r="B43" t="s">
        <v>95</v>
      </c>
      <c r="C43" t="s">
        <v>99</v>
      </c>
      <c r="D43" s="36"/>
      <c r="E43" s="24" t="s">
        <v>66</v>
      </c>
      <c r="F43" s="24" t="s">
        <v>97</v>
      </c>
      <c r="G43" s="24"/>
    </row>
    <row r="44" spans="1:7" x14ac:dyDescent="0.25">
      <c r="A44" s="25" t="s">
        <v>100</v>
      </c>
      <c r="B44" t="s">
        <v>43</v>
      </c>
      <c r="C44" t="s">
        <v>43</v>
      </c>
      <c r="D44" s="36"/>
      <c r="E44" s="24" t="s">
        <v>66</v>
      </c>
      <c r="F44" s="24" t="s">
        <v>97</v>
      </c>
    </row>
    <row r="45" spans="1:7" x14ac:dyDescent="0.25">
      <c r="A45" s="25" t="s">
        <v>100</v>
      </c>
      <c r="B45" t="s">
        <v>43</v>
      </c>
      <c r="C45" t="s">
        <v>43</v>
      </c>
      <c r="D45" s="32"/>
      <c r="E45" s="24" t="s">
        <v>101</v>
      </c>
    </row>
    <row r="46" spans="1:7" x14ac:dyDescent="0.25">
      <c r="A46" s="25" t="s">
        <v>102</v>
      </c>
      <c r="B46" t="s">
        <v>43</v>
      </c>
      <c r="C46" t="s">
        <v>43</v>
      </c>
      <c r="D46" s="36"/>
      <c r="E46" s="24" t="s">
        <v>103</v>
      </c>
      <c r="F46" s="24" t="s">
        <v>45</v>
      </c>
    </row>
    <row r="47" spans="1:7" x14ac:dyDescent="0.25">
      <c r="A47" s="25" t="s">
        <v>104</v>
      </c>
      <c r="B47" t="s">
        <v>95</v>
      </c>
      <c r="C47" t="s">
        <v>105</v>
      </c>
      <c r="D47" s="37"/>
      <c r="E47" s="24" t="s">
        <v>103</v>
      </c>
      <c r="G47" t="s">
        <v>106</v>
      </c>
    </row>
    <row r="48" spans="1:7" x14ac:dyDescent="0.25">
      <c r="A48" t="s">
        <v>107</v>
      </c>
      <c r="B48" t="s">
        <v>95</v>
      </c>
      <c r="C48" t="s">
        <v>108</v>
      </c>
      <c r="D48" s="24">
        <v>315</v>
      </c>
      <c r="E48" s="24" t="s">
        <v>52</v>
      </c>
      <c r="F48" s="24" t="s">
        <v>79</v>
      </c>
      <c r="G48" s="24" t="s">
        <v>109</v>
      </c>
    </row>
    <row r="49" spans="1:7" x14ac:dyDescent="0.25">
      <c r="A49" s="25" t="s">
        <v>110</v>
      </c>
      <c r="B49" t="s">
        <v>95</v>
      </c>
      <c r="C49" t="s">
        <v>111</v>
      </c>
      <c r="D49" s="38" t="s">
        <v>43</v>
      </c>
      <c r="E49" s="24" t="s">
        <v>43</v>
      </c>
      <c r="F49" s="24" t="s">
        <v>97</v>
      </c>
      <c r="G49" s="24" t="s">
        <v>112</v>
      </c>
    </row>
    <row r="50" spans="1:7" x14ac:dyDescent="0.25">
      <c r="A50" t="s">
        <v>113</v>
      </c>
      <c r="B50" t="s">
        <v>95</v>
      </c>
      <c r="C50" t="s">
        <v>114</v>
      </c>
      <c r="D50" s="39">
        <v>8.0000000000000004E-4</v>
      </c>
      <c r="E50" s="24" t="s">
        <v>47</v>
      </c>
      <c r="F50" s="24" t="s">
        <v>115</v>
      </c>
    </row>
    <row r="51" spans="1:7" x14ac:dyDescent="0.25">
      <c r="A51" t="s">
        <v>116</v>
      </c>
      <c r="B51" t="s">
        <v>95</v>
      </c>
      <c r="C51" t="s">
        <v>117</v>
      </c>
      <c r="D51" s="40">
        <v>2.2000000000000001E-3</v>
      </c>
      <c r="E51" s="24" t="s">
        <v>47</v>
      </c>
      <c r="F51" s="24" t="s">
        <v>118</v>
      </c>
    </row>
    <row r="52" spans="1:7" x14ac:dyDescent="0.25">
      <c r="A52" t="s">
        <v>119</v>
      </c>
      <c r="B52" t="s">
        <v>95</v>
      </c>
      <c r="C52" t="s">
        <v>120</v>
      </c>
      <c r="D52" s="24">
        <v>140</v>
      </c>
      <c r="E52" s="24" t="s">
        <v>44</v>
      </c>
      <c r="F52" s="24" t="s">
        <v>118</v>
      </c>
      <c r="G52" s="24" t="s">
        <v>46</v>
      </c>
    </row>
    <row r="53" spans="1:7" x14ac:dyDescent="0.25">
      <c r="A53" t="s">
        <v>121</v>
      </c>
      <c r="B53" t="s">
        <v>95</v>
      </c>
      <c r="C53" t="s">
        <v>122</v>
      </c>
      <c r="D53" s="39">
        <v>1.3899999999999999E-4</v>
      </c>
      <c r="E53" s="24" t="s">
        <v>47</v>
      </c>
      <c r="F53" s="24" t="s">
        <v>123</v>
      </c>
      <c r="G53" s="24" t="s">
        <v>46</v>
      </c>
    </row>
    <row r="54" spans="1:7" x14ac:dyDescent="0.25">
      <c r="A54" t="s">
        <v>124</v>
      </c>
      <c r="B54" t="s">
        <v>95</v>
      </c>
      <c r="C54" t="s">
        <v>125</v>
      </c>
      <c r="D54" s="39">
        <v>1.3899999999999999E-4</v>
      </c>
      <c r="E54" s="24" t="s">
        <v>47</v>
      </c>
      <c r="F54" s="24" t="s">
        <v>126</v>
      </c>
      <c r="G54" s="24" t="s">
        <v>46</v>
      </c>
    </row>
    <row r="55" spans="1:7" x14ac:dyDescent="0.25">
      <c r="A55" s="25" t="s">
        <v>127</v>
      </c>
      <c r="B55" s="25" t="s">
        <v>95</v>
      </c>
      <c r="C55" s="25" t="s">
        <v>128</v>
      </c>
      <c r="D55" s="31">
        <v>8</v>
      </c>
      <c r="E55" s="31" t="s">
        <v>44</v>
      </c>
      <c r="F55" s="31" t="s">
        <v>129</v>
      </c>
      <c r="G55" s="25"/>
    </row>
    <row r="56" spans="1:7" x14ac:dyDescent="0.25">
      <c r="A56" s="20" t="s">
        <v>130</v>
      </c>
      <c r="B56" s="20" t="s">
        <v>95</v>
      </c>
      <c r="C56" s="20" t="s">
        <v>131</v>
      </c>
      <c r="D56" s="41">
        <v>10</v>
      </c>
      <c r="E56" s="41" t="s">
        <v>43</v>
      </c>
      <c r="F56" s="41" t="s">
        <v>132</v>
      </c>
      <c r="G56" s="41" t="s">
        <v>133</v>
      </c>
    </row>
    <row r="58" spans="1:7" x14ac:dyDescent="0.25">
      <c r="D58"/>
      <c r="E58"/>
      <c r="F58"/>
    </row>
    <row r="59" spans="1:7" x14ac:dyDescent="0.25">
      <c r="D59"/>
      <c r="E59"/>
      <c r="F59"/>
    </row>
    <row r="60" spans="1:7" x14ac:dyDescent="0.25">
      <c r="D60"/>
      <c r="E60"/>
      <c r="F60"/>
    </row>
    <row r="61" spans="1:7" x14ac:dyDescent="0.25">
      <c r="D61"/>
      <c r="E61"/>
      <c r="F61"/>
    </row>
    <row r="62" spans="1:7" x14ac:dyDescent="0.25">
      <c r="D62"/>
      <c r="E62"/>
      <c r="F62"/>
    </row>
    <row r="63" spans="1:7" x14ac:dyDescent="0.25">
      <c r="D63"/>
      <c r="E63"/>
      <c r="F63"/>
    </row>
    <row r="64" spans="1:7" x14ac:dyDescent="0.25">
      <c r="D64"/>
      <c r="E64"/>
      <c r="F64"/>
    </row>
    <row r="65" spans="4:6" x14ac:dyDescent="0.25">
      <c r="D65"/>
      <c r="E65"/>
      <c r="F65"/>
    </row>
    <row r="66" spans="4:6" x14ac:dyDescent="0.25">
      <c r="D66"/>
      <c r="E66"/>
      <c r="F66"/>
    </row>
    <row r="67" spans="4:6" x14ac:dyDescent="0.25">
      <c r="D67"/>
      <c r="E67"/>
      <c r="F67"/>
    </row>
    <row r="68" spans="4:6" x14ac:dyDescent="0.25">
      <c r="D68"/>
      <c r="E68"/>
      <c r="F68"/>
    </row>
    <row r="69" spans="4:6" x14ac:dyDescent="0.25">
      <c r="D69"/>
      <c r="E69"/>
      <c r="F69"/>
    </row>
    <row r="70" spans="4:6" x14ac:dyDescent="0.25">
      <c r="D70"/>
      <c r="E70"/>
      <c r="F70"/>
    </row>
    <row r="71" spans="4:6" x14ac:dyDescent="0.25">
      <c r="D71"/>
      <c r="E71"/>
      <c r="F71"/>
    </row>
    <row r="72" spans="4:6" x14ac:dyDescent="0.25">
      <c r="D72"/>
      <c r="E72"/>
      <c r="F72"/>
    </row>
    <row r="73" spans="4:6" x14ac:dyDescent="0.25">
      <c r="D73"/>
      <c r="E73"/>
      <c r="F73"/>
    </row>
    <row r="74" spans="4:6" x14ac:dyDescent="0.25">
      <c r="D74"/>
      <c r="E74"/>
      <c r="F74"/>
    </row>
    <row r="75" spans="4:6" x14ac:dyDescent="0.25">
      <c r="D75"/>
      <c r="E75"/>
      <c r="F75"/>
    </row>
    <row r="76" spans="4:6" x14ac:dyDescent="0.25">
      <c r="D76"/>
      <c r="E76"/>
      <c r="F76"/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FFFFFF"/>
  </sheetPr>
  <dimension ref="A1:W117"/>
  <sheetViews>
    <sheetView workbookViewId="0">
      <selection activeCell="D33" sqref="D33"/>
    </sheetView>
  </sheetViews>
  <sheetFormatPr baseColWidth="10" defaultRowHeight="15" x14ac:dyDescent="0.25"/>
  <cols>
    <col min="2" max="2" width="11.85546875" bestFit="1" customWidth="1"/>
    <col min="5" max="5" width="12" bestFit="1" customWidth="1"/>
    <col min="6" max="6" width="13.28515625" bestFit="1" customWidth="1"/>
  </cols>
  <sheetData>
    <row r="1" spans="1:23" ht="21" x14ac:dyDescent="0.4">
      <c r="A1" s="124" t="s">
        <v>207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</row>
    <row r="3" spans="1:23" ht="14.45" x14ac:dyDescent="0.3">
      <c r="E3" s="55"/>
      <c r="F3" s="55"/>
      <c r="G3" s="55"/>
      <c r="H3" s="55"/>
      <c r="I3" s="125" t="s">
        <v>201</v>
      </c>
      <c r="J3" s="120"/>
      <c r="K3" s="120"/>
      <c r="L3" s="120"/>
      <c r="M3" s="120"/>
      <c r="N3" s="121"/>
      <c r="O3" s="125" t="s">
        <v>202</v>
      </c>
      <c r="P3" s="120"/>
      <c r="Q3" s="120"/>
      <c r="R3" s="120"/>
      <c r="S3" s="120"/>
      <c r="T3" s="120"/>
      <c r="U3" s="121"/>
    </row>
    <row r="4" spans="1:23" ht="14.45" x14ac:dyDescent="0.3">
      <c r="B4" s="56" t="s">
        <v>198</v>
      </c>
      <c r="C4" s="57" t="s">
        <v>177</v>
      </c>
      <c r="D4" s="57" t="s">
        <v>178</v>
      </c>
      <c r="E4" s="125" t="s">
        <v>180</v>
      </c>
      <c r="F4" s="120"/>
      <c r="G4" s="120"/>
      <c r="H4" s="121"/>
      <c r="I4" s="126" t="s">
        <v>181</v>
      </c>
      <c r="J4" s="126"/>
      <c r="K4" s="57" t="s">
        <v>182</v>
      </c>
      <c r="L4" s="57" t="s">
        <v>183</v>
      </c>
      <c r="M4" s="57" t="s">
        <v>196</v>
      </c>
      <c r="N4" s="57" t="s">
        <v>195</v>
      </c>
      <c r="O4" s="57" t="s">
        <v>203</v>
      </c>
      <c r="P4" s="126" t="s">
        <v>181</v>
      </c>
      <c r="Q4" s="126"/>
      <c r="R4" s="57" t="s">
        <v>182</v>
      </c>
      <c r="S4" s="57" t="s">
        <v>183</v>
      </c>
      <c r="T4" s="57" t="s">
        <v>196</v>
      </c>
      <c r="U4" s="57" t="s">
        <v>195</v>
      </c>
    </row>
    <row r="5" spans="1:23" x14ac:dyDescent="0.25">
      <c r="B5" s="59">
        <v>1</v>
      </c>
      <c r="C5" s="64">
        <v>10</v>
      </c>
      <c r="D5" s="64">
        <v>10</v>
      </c>
      <c r="E5" s="122" t="s">
        <v>26</v>
      </c>
      <c r="F5" s="122"/>
      <c r="G5" s="122"/>
      <c r="H5" s="123"/>
      <c r="I5" s="130" t="s">
        <v>184</v>
      </c>
      <c r="J5" s="130"/>
      <c r="K5" s="64">
        <v>-200</v>
      </c>
      <c r="L5" s="64">
        <v>200</v>
      </c>
      <c r="M5" s="64">
        <v>5</v>
      </c>
      <c r="N5" s="65">
        <v>5</v>
      </c>
      <c r="O5" s="69">
        <v>1</v>
      </c>
      <c r="P5" s="127" t="s">
        <v>186</v>
      </c>
      <c r="Q5" s="123"/>
      <c r="R5" s="64">
        <v>0</v>
      </c>
      <c r="S5" s="64">
        <v>1000</v>
      </c>
      <c r="T5" s="64" t="s">
        <v>185</v>
      </c>
      <c r="U5" s="64" t="s">
        <v>185</v>
      </c>
    </row>
    <row r="6" spans="1:23" ht="14.45" x14ac:dyDescent="0.3">
      <c r="K6" s="62"/>
      <c r="L6" s="62"/>
      <c r="M6" s="63"/>
      <c r="N6" s="63"/>
      <c r="O6" s="70">
        <v>2</v>
      </c>
      <c r="P6" s="127" t="s">
        <v>206</v>
      </c>
      <c r="Q6" s="123"/>
      <c r="R6" s="66">
        <v>0</v>
      </c>
      <c r="S6" s="67">
        <v>1000000</v>
      </c>
      <c r="T6" s="64" t="s">
        <v>185</v>
      </c>
      <c r="U6" s="64" t="s">
        <v>185</v>
      </c>
    </row>
    <row r="8" spans="1:23" ht="14.45" x14ac:dyDescent="0.3">
      <c r="C8" s="56" t="s">
        <v>199</v>
      </c>
      <c r="D8" s="58" t="s">
        <v>200</v>
      </c>
      <c r="E8" s="125" t="s">
        <v>187</v>
      </c>
      <c r="F8" s="121"/>
      <c r="G8" s="56" t="s">
        <v>179</v>
      </c>
      <c r="H8" s="125" t="s">
        <v>181</v>
      </c>
      <c r="I8" s="120"/>
      <c r="J8" s="121"/>
      <c r="K8" s="58" t="s">
        <v>188</v>
      </c>
      <c r="L8" s="58" t="s">
        <v>189</v>
      </c>
      <c r="M8" s="58" t="s">
        <v>190</v>
      </c>
      <c r="N8" s="68"/>
      <c r="P8" s="71"/>
    </row>
    <row r="9" spans="1:23" ht="14.45" x14ac:dyDescent="0.3">
      <c r="C9" s="59">
        <v>1</v>
      </c>
      <c r="D9" s="64">
        <v>1</v>
      </c>
      <c r="E9" s="128"/>
      <c r="F9" s="129"/>
      <c r="G9" s="64" t="s">
        <v>191</v>
      </c>
      <c r="H9" s="127" t="s">
        <v>192</v>
      </c>
      <c r="I9" s="122"/>
      <c r="J9" s="123"/>
      <c r="K9" s="60"/>
      <c r="L9" s="64">
        <v>1</v>
      </c>
      <c r="M9" s="64">
        <v>1</v>
      </c>
      <c r="N9" s="63"/>
    </row>
    <row r="10" spans="1:23" ht="14.45" x14ac:dyDescent="0.3">
      <c r="C10" s="59">
        <v>2</v>
      </c>
      <c r="D10" s="64">
        <v>1</v>
      </c>
      <c r="E10" s="128"/>
      <c r="F10" s="129"/>
      <c r="G10" s="64" t="s">
        <v>193</v>
      </c>
      <c r="H10" s="127" t="s">
        <v>194</v>
      </c>
      <c r="I10" s="122"/>
      <c r="J10" s="123"/>
      <c r="K10" s="61"/>
      <c r="L10" s="64">
        <v>1</v>
      </c>
      <c r="M10" s="64">
        <v>1</v>
      </c>
      <c r="N10" s="63"/>
    </row>
    <row r="15" spans="1:23" ht="14.45" x14ac:dyDescent="0.3">
      <c r="F15" s="55"/>
      <c r="G15" s="55"/>
      <c r="H15" s="55"/>
      <c r="I15" s="55"/>
      <c r="J15" s="125" t="s">
        <v>201</v>
      </c>
      <c r="K15" s="120"/>
      <c r="L15" s="120"/>
      <c r="M15" s="120"/>
      <c r="N15" s="120"/>
      <c r="O15" s="121"/>
      <c r="P15" s="125" t="s">
        <v>202</v>
      </c>
      <c r="Q15" s="120"/>
      <c r="R15" s="120"/>
      <c r="S15" s="120"/>
      <c r="T15" s="120"/>
      <c r="U15" s="120"/>
      <c r="V15" s="121"/>
    </row>
    <row r="16" spans="1:23" x14ac:dyDescent="0.25">
      <c r="C16" s="72" t="s">
        <v>213</v>
      </c>
      <c r="D16" s="57" t="s">
        <v>211</v>
      </c>
      <c r="E16" s="58" t="s">
        <v>212</v>
      </c>
      <c r="F16" s="75" t="s">
        <v>210</v>
      </c>
      <c r="G16" s="120" t="s">
        <v>180</v>
      </c>
      <c r="H16" s="120"/>
      <c r="I16" s="121"/>
      <c r="J16" s="125" t="s">
        <v>181</v>
      </c>
      <c r="K16" s="121"/>
      <c r="L16" s="57" t="s">
        <v>182</v>
      </c>
      <c r="M16" s="57" t="s">
        <v>183</v>
      </c>
      <c r="N16" s="57" t="s">
        <v>196</v>
      </c>
      <c r="O16" s="57" t="s">
        <v>195</v>
      </c>
      <c r="P16" s="57" t="s">
        <v>203</v>
      </c>
      <c r="Q16" s="125" t="s">
        <v>181</v>
      </c>
      <c r="R16" s="121"/>
      <c r="S16" s="57" t="s">
        <v>182</v>
      </c>
      <c r="T16" s="57" t="s">
        <v>183</v>
      </c>
      <c r="U16" s="57" t="s">
        <v>196</v>
      </c>
      <c r="V16" s="57" t="s">
        <v>195</v>
      </c>
    </row>
    <row r="17" spans="1:23" x14ac:dyDescent="0.25">
      <c r="C17" s="59">
        <v>1</v>
      </c>
      <c r="D17" s="74" t="s">
        <v>142</v>
      </c>
      <c r="E17" s="74" t="s">
        <v>27</v>
      </c>
      <c r="F17" s="74" t="s">
        <v>214</v>
      </c>
      <c r="G17" s="122" t="s">
        <v>26</v>
      </c>
      <c r="H17" s="122"/>
      <c r="I17" s="123"/>
      <c r="J17" s="127" t="s">
        <v>184</v>
      </c>
      <c r="K17" s="123"/>
      <c r="L17" s="74">
        <v>-200</v>
      </c>
      <c r="M17" s="74">
        <v>200</v>
      </c>
      <c r="N17" s="74">
        <v>5</v>
      </c>
      <c r="O17" s="73">
        <v>5</v>
      </c>
      <c r="P17" s="69">
        <v>1</v>
      </c>
      <c r="Q17" s="127" t="s">
        <v>186</v>
      </c>
      <c r="R17" s="123"/>
      <c r="S17" s="74">
        <v>0</v>
      </c>
      <c r="T17" s="74">
        <v>1000</v>
      </c>
      <c r="U17" s="74" t="s">
        <v>185</v>
      </c>
      <c r="V17" s="74" t="s">
        <v>185</v>
      </c>
    </row>
    <row r="18" spans="1:23" x14ac:dyDescent="0.25">
      <c r="K18" s="62"/>
      <c r="L18" s="62"/>
      <c r="M18" s="63"/>
    </row>
    <row r="20" spans="1:23" ht="21" x14ac:dyDescent="0.35">
      <c r="A20" s="124" t="s">
        <v>208</v>
      </c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</row>
    <row r="21" spans="1:23" x14ac:dyDescent="0.25">
      <c r="A21" t="s">
        <v>278</v>
      </c>
      <c r="B21" t="s">
        <v>326</v>
      </c>
    </row>
    <row r="22" spans="1:23" x14ac:dyDescent="0.25">
      <c r="A22" t="s">
        <v>330</v>
      </c>
    </row>
    <row r="23" spans="1:23" x14ac:dyDescent="0.25">
      <c r="A23" t="s">
        <v>329</v>
      </c>
    </row>
    <row r="24" spans="1:23" x14ac:dyDescent="0.25">
      <c r="A24" t="s">
        <v>329</v>
      </c>
    </row>
    <row r="25" spans="1:23" x14ac:dyDescent="0.25">
      <c r="A25" t="s">
        <v>325</v>
      </c>
    </row>
    <row r="26" spans="1:23" x14ac:dyDescent="0.25">
      <c r="A26" t="s">
        <v>324</v>
      </c>
    </row>
    <row r="27" spans="1:23" x14ac:dyDescent="0.25">
      <c r="A27" t="s">
        <v>322</v>
      </c>
    </row>
    <row r="28" spans="1:23" x14ac:dyDescent="0.25">
      <c r="A28" t="s">
        <v>323</v>
      </c>
    </row>
    <row r="29" spans="1:23" x14ac:dyDescent="0.25">
      <c r="A29" t="s">
        <v>312</v>
      </c>
    </row>
    <row r="30" spans="1:23" x14ac:dyDescent="0.25">
      <c r="A30" t="s">
        <v>313</v>
      </c>
    </row>
    <row r="31" spans="1:23" x14ac:dyDescent="0.25">
      <c r="A31" t="s">
        <v>314</v>
      </c>
    </row>
    <row r="32" spans="1:23" x14ac:dyDescent="0.25">
      <c r="A32" t="s">
        <v>315</v>
      </c>
    </row>
    <row r="33" spans="1:1" x14ac:dyDescent="0.25">
      <c r="A33" t="s">
        <v>310</v>
      </c>
    </row>
    <row r="34" spans="1:1" x14ac:dyDescent="0.25">
      <c r="A34" t="s">
        <v>316</v>
      </c>
    </row>
    <row r="35" spans="1:1" x14ac:dyDescent="0.25">
      <c r="A35" t="s">
        <v>317</v>
      </c>
    </row>
    <row r="36" spans="1:1" x14ac:dyDescent="0.25">
      <c r="A36" t="s">
        <v>311</v>
      </c>
    </row>
    <row r="37" spans="1:1" x14ac:dyDescent="0.25">
      <c r="A37" t="s">
        <v>318</v>
      </c>
    </row>
    <row r="38" spans="1:1" x14ac:dyDescent="0.25">
      <c r="A38" t="s">
        <v>319</v>
      </c>
    </row>
    <row r="39" spans="1:1" x14ac:dyDescent="0.25">
      <c r="A39" t="s">
        <v>320</v>
      </c>
    </row>
    <row r="40" spans="1:1" x14ac:dyDescent="0.25">
      <c r="A40" t="s">
        <v>286</v>
      </c>
    </row>
    <row r="41" spans="1:1" x14ac:dyDescent="0.25">
      <c r="A41" t="s">
        <v>287</v>
      </c>
    </row>
    <row r="42" spans="1:1" x14ac:dyDescent="0.25">
      <c r="A42" t="s">
        <v>288</v>
      </c>
    </row>
    <row r="43" spans="1:1" x14ac:dyDescent="0.25">
      <c r="A43" t="s">
        <v>289</v>
      </c>
    </row>
    <row r="44" spans="1:1" x14ac:dyDescent="0.25">
      <c r="A44" t="s">
        <v>290</v>
      </c>
    </row>
    <row r="45" spans="1:1" x14ac:dyDescent="0.25">
      <c r="A45" t="s">
        <v>291</v>
      </c>
    </row>
    <row r="46" spans="1:1" x14ac:dyDescent="0.25">
      <c r="A46" t="s">
        <v>292</v>
      </c>
    </row>
    <row r="47" spans="1:1" x14ac:dyDescent="0.25">
      <c r="A47" t="s">
        <v>293</v>
      </c>
    </row>
    <row r="48" spans="1:1" x14ac:dyDescent="0.25">
      <c r="A48" t="s">
        <v>294</v>
      </c>
    </row>
    <row r="49" spans="1:1" x14ac:dyDescent="0.25">
      <c r="A49" t="s">
        <v>295</v>
      </c>
    </row>
    <row r="50" spans="1:1" x14ac:dyDescent="0.25">
      <c r="A50" t="s">
        <v>296</v>
      </c>
    </row>
    <row r="51" spans="1:1" x14ac:dyDescent="0.25">
      <c r="A51" t="s">
        <v>297</v>
      </c>
    </row>
    <row r="52" spans="1:1" x14ac:dyDescent="0.25">
      <c r="A52" t="s">
        <v>298</v>
      </c>
    </row>
    <row r="53" spans="1:1" x14ac:dyDescent="0.25">
      <c r="A53" t="s">
        <v>299</v>
      </c>
    </row>
    <row r="54" spans="1:1" x14ac:dyDescent="0.25">
      <c r="A54" t="s">
        <v>300</v>
      </c>
    </row>
    <row r="55" spans="1:1" x14ac:dyDescent="0.25">
      <c r="A55" t="s">
        <v>301</v>
      </c>
    </row>
    <row r="56" spans="1:1" x14ac:dyDescent="0.25">
      <c r="A56" t="s">
        <v>302</v>
      </c>
    </row>
    <row r="57" spans="1:1" x14ac:dyDescent="0.25">
      <c r="A57" t="s">
        <v>303</v>
      </c>
    </row>
    <row r="58" spans="1:1" x14ac:dyDescent="0.25">
      <c r="A58" t="s">
        <v>304</v>
      </c>
    </row>
    <row r="59" spans="1:1" x14ac:dyDescent="0.25">
      <c r="A59" t="s">
        <v>305</v>
      </c>
    </row>
    <row r="60" spans="1:1" x14ac:dyDescent="0.25">
      <c r="A60" t="s">
        <v>306</v>
      </c>
    </row>
    <row r="61" spans="1:1" x14ac:dyDescent="0.25">
      <c r="A61" t="s">
        <v>307</v>
      </c>
    </row>
    <row r="62" spans="1:1" x14ac:dyDescent="0.25">
      <c r="A62" t="s">
        <v>308</v>
      </c>
    </row>
    <row r="63" spans="1:1" x14ac:dyDescent="0.25">
      <c r="A63" t="s">
        <v>279</v>
      </c>
    </row>
    <row r="64" spans="1:1" x14ac:dyDescent="0.25">
      <c r="A64" t="s">
        <v>280</v>
      </c>
    </row>
    <row r="65" spans="1:1" x14ac:dyDescent="0.25">
      <c r="A65" t="s">
        <v>281</v>
      </c>
    </row>
    <row r="66" spans="1:1" x14ac:dyDescent="0.25">
      <c r="A66" t="s">
        <v>282</v>
      </c>
    </row>
    <row r="67" spans="1:1" x14ac:dyDescent="0.25">
      <c r="A67" t="s">
        <v>283</v>
      </c>
    </row>
    <row r="68" spans="1:1" x14ac:dyDescent="0.25">
      <c r="A68" t="s">
        <v>284</v>
      </c>
    </row>
    <row r="69" spans="1:1" x14ac:dyDescent="0.25">
      <c r="A69" t="s">
        <v>285</v>
      </c>
    </row>
    <row r="70" spans="1:1" x14ac:dyDescent="0.25">
      <c r="A70" t="s">
        <v>274</v>
      </c>
    </row>
    <row r="71" spans="1:1" x14ac:dyDescent="0.25">
      <c r="A71" t="s">
        <v>226</v>
      </c>
    </row>
    <row r="72" spans="1:1" x14ac:dyDescent="0.25">
      <c r="A72" t="s">
        <v>227</v>
      </c>
    </row>
    <row r="73" spans="1:1" x14ac:dyDescent="0.25">
      <c r="A73" t="s">
        <v>228</v>
      </c>
    </row>
    <row r="74" spans="1:1" x14ac:dyDescent="0.25">
      <c r="A74" t="s">
        <v>229</v>
      </c>
    </row>
    <row r="75" spans="1:1" x14ac:dyDescent="0.25">
      <c r="A75" t="s">
        <v>230</v>
      </c>
    </row>
    <row r="76" spans="1:1" x14ac:dyDescent="0.25">
      <c r="A76" t="s">
        <v>231</v>
      </c>
    </row>
    <row r="77" spans="1:1" x14ac:dyDescent="0.25">
      <c r="A77" t="s">
        <v>232</v>
      </c>
    </row>
    <row r="78" spans="1:1" x14ac:dyDescent="0.25">
      <c r="A78" t="s">
        <v>233</v>
      </c>
    </row>
    <row r="79" spans="1:1" x14ac:dyDescent="0.25">
      <c r="A79" t="s">
        <v>234</v>
      </c>
    </row>
    <row r="80" spans="1:1" x14ac:dyDescent="0.25">
      <c r="A80" t="s">
        <v>235</v>
      </c>
    </row>
    <row r="81" spans="1:1" x14ac:dyDescent="0.25">
      <c r="A81" t="s">
        <v>236</v>
      </c>
    </row>
    <row r="82" spans="1:1" x14ac:dyDescent="0.25">
      <c r="A82" t="s">
        <v>237</v>
      </c>
    </row>
    <row r="83" spans="1:1" x14ac:dyDescent="0.25">
      <c r="A83" t="s">
        <v>238</v>
      </c>
    </row>
    <row r="84" spans="1:1" x14ac:dyDescent="0.25">
      <c r="A84" t="s">
        <v>239</v>
      </c>
    </row>
    <row r="85" spans="1:1" x14ac:dyDescent="0.25">
      <c r="A85" t="s">
        <v>240</v>
      </c>
    </row>
    <row r="86" spans="1:1" x14ac:dyDescent="0.25">
      <c r="A86" t="s">
        <v>241</v>
      </c>
    </row>
    <row r="87" spans="1:1" x14ac:dyDescent="0.25">
      <c r="A87" t="s">
        <v>242</v>
      </c>
    </row>
    <row r="88" spans="1:1" x14ac:dyDescent="0.25">
      <c r="A88" t="s">
        <v>243</v>
      </c>
    </row>
    <row r="89" spans="1:1" x14ac:dyDescent="0.25">
      <c r="A89" t="s">
        <v>244</v>
      </c>
    </row>
    <row r="90" spans="1:1" x14ac:dyDescent="0.25">
      <c r="A90" t="s">
        <v>245</v>
      </c>
    </row>
    <row r="91" spans="1:1" x14ac:dyDescent="0.25">
      <c r="A91" t="s">
        <v>246</v>
      </c>
    </row>
    <row r="92" spans="1:1" x14ac:dyDescent="0.25">
      <c r="A92" t="s">
        <v>247</v>
      </c>
    </row>
    <row r="93" spans="1:1" x14ac:dyDescent="0.25">
      <c r="A93" t="s">
        <v>248</v>
      </c>
    </row>
    <row r="94" spans="1:1" x14ac:dyDescent="0.25">
      <c r="A94" t="s">
        <v>249</v>
      </c>
    </row>
    <row r="95" spans="1:1" x14ac:dyDescent="0.25">
      <c r="A95" t="s">
        <v>250</v>
      </c>
    </row>
    <row r="96" spans="1:1" x14ac:dyDescent="0.25">
      <c r="A96" t="s">
        <v>251</v>
      </c>
    </row>
    <row r="97" spans="1:1" x14ac:dyDescent="0.25">
      <c r="A97" t="s">
        <v>252</v>
      </c>
    </row>
    <row r="98" spans="1:1" x14ac:dyDescent="0.25">
      <c r="A98" t="s">
        <v>257</v>
      </c>
    </row>
    <row r="99" spans="1:1" x14ac:dyDescent="0.25">
      <c r="A99" t="s">
        <v>253</v>
      </c>
    </row>
    <row r="100" spans="1:1" x14ac:dyDescent="0.25">
      <c r="A100" t="s">
        <v>258</v>
      </c>
    </row>
    <row r="101" spans="1:1" x14ac:dyDescent="0.25">
      <c r="A101" t="s">
        <v>259</v>
      </c>
    </row>
    <row r="102" spans="1:1" x14ac:dyDescent="0.25">
      <c r="A102" t="s">
        <v>260</v>
      </c>
    </row>
    <row r="103" spans="1:1" x14ac:dyDescent="0.25">
      <c r="A103" t="s">
        <v>261</v>
      </c>
    </row>
    <row r="104" spans="1:1" x14ac:dyDescent="0.25">
      <c r="A104" t="s">
        <v>262</v>
      </c>
    </row>
    <row r="105" spans="1:1" x14ac:dyDescent="0.25">
      <c r="A105" t="s">
        <v>263</v>
      </c>
    </row>
    <row r="106" spans="1:1" x14ac:dyDescent="0.25">
      <c r="A106" t="s">
        <v>264</v>
      </c>
    </row>
    <row r="107" spans="1:1" x14ac:dyDescent="0.25">
      <c r="A107" t="s">
        <v>265</v>
      </c>
    </row>
    <row r="108" spans="1:1" x14ac:dyDescent="0.25">
      <c r="A108" t="s">
        <v>266</v>
      </c>
    </row>
    <row r="109" spans="1:1" x14ac:dyDescent="0.25">
      <c r="A109" t="s">
        <v>267</v>
      </c>
    </row>
    <row r="110" spans="1:1" x14ac:dyDescent="0.25">
      <c r="A110" t="s">
        <v>254</v>
      </c>
    </row>
    <row r="111" spans="1:1" x14ac:dyDescent="0.25">
      <c r="A111" t="s">
        <v>268</v>
      </c>
    </row>
    <row r="112" spans="1:1" x14ac:dyDescent="0.25">
      <c r="A112" t="s">
        <v>269</v>
      </c>
    </row>
    <row r="113" spans="1:1" x14ac:dyDescent="0.25">
      <c r="A113" t="s">
        <v>270</v>
      </c>
    </row>
    <row r="114" spans="1:1" x14ac:dyDescent="0.25">
      <c r="A114" t="s">
        <v>271</v>
      </c>
    </row>
    <row r="115" spans="1:1" x14ac:dyDescent="0.25">
      <c r="A115" t="s">
        <v>272</v>
      </c>
    </row>
    <row r="116" spans="1:1" x14ac:dyDescent="0.25">
      <c r="A116" t="s">
        <v>273</v>
      </c>
    </row>
    <row r="117" spans="1:1" x14ac:dyDescent="0.25">
      <c r="A117" t="s">
        <v>255</v>
      </c>
    </row>
  </sheetData>
  <mergeCells count="25">
    <mergeCell ref="O3:U3"/>
    <mergeCell ref="A1:W1"/>
    <mergeCell ref="E10:F10"/>
    <mergeCell ref="H10:J10"/>
    <mergeCell ref="P6:Q6"/>
    <mergeCell ref="E8:F8"/>
    <mergeCell ref="H8:J8"/>
    <mergeCell ref="E9:F9"/>
    <mergeCell ref="H9:J9"/>
    <mergeCell ref="E5:H5"/>
    <mergeCell ref="I5:J5"/>
    <mergeCell ref="P5:Q5"/>
    <mergeCell ref="I3:N3"/>
    <mergeCell ref="G16:I16"/>
    <mergeCell ref="G17:I17"/>
    <mergeCell ref="A20:W20"/>
    <mergeCell ref="E4:H4"/>
    <mergeCell ref="I4:J4"/>
    <mergeCell ref="P4:Q4"/>
    <mergeCell ref="P15:V15"/>
    <mergeCell ref="Q17:R17"/>
    <mergeCell ref="J15:O15"/>
    <mergeCell ref="Q16:R16"/>
    <mergeCell ref="J16:K16"/>
    <mergeCell ref="J17:K17"/>
  </mergeCell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tabColor rgb="FF7D7D7D"/>
  </sheetPr>
  <dimension ref="A1:X19"/>
  <sheetViews>
    <sheetView workbookViewId="0">
      <selection activeCell="C7" sqref="C7"/>
    </sheetView>
  </sheetViews>
  <sheetFormatPr baseColWidth="10" defaultRowHeight="15" x14ac:dyDescent="0.25"/>
  <cols>
    <col min="1" max="1" width="36.85546875" customWidth="1"/>
    <col min="2" max="2" width="60" bestFit="1" customWidth="1"/>
    <col min="3" max="3" width="13.28515625" bestFit="1" customWidth="1"/>
  </cols>
  <sheetData>
    <row r="1" spans="1:24" x14ac:dyDescent="0.25">
      <c r="A1" s="131" t="s">
        <v>134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3"/>
    </row>
    <row r="2" spans="1:24" ht="15.75" thickBot="1" x14ac:dyDescent="0.3">
      <c r="A2" s="134"/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6"/>
    </row>
    <row r="3" spans="1:24" thickBot="1" x14ac:dyDescent="0.35"/>
    <row r="4" spans="1:24" ht="14.45" x14ac:dyDescent="0.3">
      <c r="A4" s="43" t="s">
        <v>139</v>
      </c>
      <c r="B4" s="45" t="s">
        <v>142</v>
      </c>
    </row>
    <row r="5" spans="1:24" ht="14.45" x14ac:dyDescent="0.3">
      <c r="A5" s="44" t="s">
        <v>140</v>
      </c>
      <c r="B5" s="46" t="s">
        <v>27</v>
      </c>
      <c r="H5" t="s">
        <v>146</v>
      </c>
    </row>
    <row r="6" spans="1:24" ht="14.45" x14ac:dyDescent="0.3">
      <c r="A6" s="44" t="s">
        <v>143</v>
      </c>
      <c r="B6" s="47">
        <v>0.4</v>
      </c>
    </row>
    <row r="7" spans="1:24" ht="14.45" x14ac:dyDescent="0.3">
      <c r="A7" s="44" t="s">
        <v>144</v>
      </c>
      <c r="B7" s="47">
        <v>5</v>
      </c>
    </row>
    <row r="8" spans="1:24" thickBot="1" x14ac:dyDescent="0.35">
      <c r="A8" s="49" t="s">
        <v>141</v>
      </c>
      <c r="B8" s="48">
        <v>5</v>
      </c>
    </row>
    <row r="9" spans="1:24" ht="14.45" x14ac:dyDescent="0.3">
      <c r="H9" t="s">
        <v>176</v>
      </c>
    </row>
    <row r="11" spans="1:24" thickBot="1" x14ac:dyDescent="0.35"/>
    <row r="12" spans="1:24" x14ac:dyDescent="0.25">
      <c r="A12" s="131" t="s">
        <v>135</v>
      </c>
      <c r="B12" s="132"/>
      <c r="C12" s="132"/>
      <c r="D12" s="132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2"/>
      <c r="Q12" s="132"/>
      <c r="R12" s="132"/>
      <c r="S12" s="132"/>
      <c r="T12" s="132"/>
      <c r="U12" s="132"/>
      <c r="V12" s="132"/>
      <c r="W12" s="132"/>
      <c r="X12" s="133"/>
    </row>
    <row r="13" spans="1:24" ht="15.75" thickBot="1" x14ac:dyDescent="0.3">
      <c r="A13" s="134"/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  <c r="S13" s="135"/>
      <c r="T13" s="135"/>
      <c r="U13" s="135"/>
      <c r="V13" s="135"/>
      <c r="W13" s="135"/>
      <c r="X13" s="136"/>
    </row>
    <row r="15" spans="1:24" ht="14.45" x14ac:dyDescent="0.3">
      <c r="A15" s="42"/>
      <c r="B15" s="42"/>
      <c r="C15" s="42"/>
    </row>
    <row r="18" spans="1:3" x14ac:dyDescent="0.25">
      <c r="A18" s="42" t="s">
        <v>136</v>
      </c>
      <c r="B18" s="42" t="s">
        <v>137</v>
      </c>
      <c r="C18" s="42" t="s">
        <v>138</v>
      </c>
    </row>
    <row r="19" spans="1:3" x14ac:dyDescent="0.25">
      <c r="A19" t="s">
        <v>338</v>
      </c>
      <c r="B19" t="s">
        <v>341</v>
      </c>
      <c r="C19" t="s">
        <v>340</v>
      </c>
    </row>
  </sheetData>
  <mergeCells count="2">
    <mergeCell ref="A1:X2"/>
    <mergeCell ref="A12:X13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0" r:id="rId4" name="Button 4">
              <controlPr defaultSize="0" print="0" autoFill="0" autoPict="0" macro="[0]!roi_readin">
                <anchor moveWithCells="1" sizeWithCells="1">
                  <from>
                    <xdr:col>3</xdr:col>
                    <xdr:colOff>752475</xdr:colOff>
                    <xdr:row>3</xdr:row>
                    <xdr:rowOff>9525</xdr:rowOff>
                  </from>
                  <to>
                    <xdr:col>6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5" name="Button 11">
              <controlPr defaultSize="0" print="0" autoFill="0" autoPict="0" macro="[0]!ROI_create_overview">
                <anchor moveWithCells="1" sizeWithCells="1">
                  <from>
                    <xdr:col>0</xdr:col>
                    <xdr:colOff>209550</xdr:colOff>
                    <xdr:row>14</xdr:row>
                    <xdr:rowOff>9525</xdr:rowOff>
                  </from>
                  <to>
                    <xdr:col>1</xdr:col>
                    <xdr:colOff>1143000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6" name="Button 12">
              <controlPr defaultSize="0" print="0" autoFill="0" autoPict="0" macro="[0]!ROI_write_output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5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" name="Button 13">
              <controlPr defaultSize="0" print="0" autoFill="0" autoPict="0" macro="[0]!ROI_add_diagrams">
                <anchor moveWithCells="1" sizeWithCells="1">
                  <from>
                    <xdr:col>4</xdr:col>
                    <xdr:colOff>9525</xdr:colOff>
                    <xdr:row>6</xdr:row>
                    <xdr:rowOff>171450</xdr:rowOff>
                  </from>
                  <to>
                    <xdr:col>6</xdr:col>
                    <xdr:colOff>752475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tabColor rgb="FF7D7D7D"/>
  </sheetPr>
  <dimension ref="A1:H10"/>
  <sheetViews>
    <sheetView topLeftCell="A4" workbookViewId="0">
      <selection activeCell="B45" sqref="B45:B46"/>
    </sheetView>
  </sheetViews>
  <sheetFormatPr baseColWidth="10" defaultColWidth="10.7109375" defaultRowHeight="15" x14ac:dyDescent="0.25"/>
  <cols>
    <col min="1" max="8" width="32.7109375" style="79" customWidth="1"/>
    <col min="9" max="16384" width="10.7109375" style="79"/>
  </cols>
  <sheetData>
    <row r="1" spans="1:8" x14ac:dyDescent="0.25">
      <c r="A1" s="145" t="s">
        <v>166</v>
      </c>
      <c r="B1" s="146"/>
      <c r="C1" s="151" t="s">
        <v>164</v>
      </c>
      <c r="D1" s="152"/>
      <c r="E1" s="157" t="s">
        <v>165</v>
      </c>
      <c r="F1" s="158"/>
      <c r="G1" s="163" t="s">
        <v>167</v>
      </c>
      <c r="H1" s="164"/>
    </row>
    <row r="2" spans="1:8" x14ac:dyDescent="0.25">
      <c r="A2" s="147"/>
      <c r="B2" s="148"/>
      <c r="C2" s="153"/>
      <c r="D2" s="154"/>
      <c r="E2" s="159"/>
      <c r="F2" s="160"/>
      <c r="G2" s="165"/>
      <c r="H2" s="166"/>
    </row>
    <row r="3" spans="1:8" ht="15.75" thickBot="1" x14ac:dyDescent="0.3">
      <c r="A3" s="149"/>
      <c r="B3" s="150"/>
      <c r="C3" s="155"/>
      <c r="D3" s="156"/>
      <c r="E3" s="161"/>
      <c r="F3" s="162"/>
      <c r="G3" s="167"/>
      <c r="H3" s="168"/>
    </row>
    <row r="4" spans="1:8" ht="14.45" x14ac:dyDescent="0.3">
      <c r="A4" s="80"/>
      <c r="B4" s="81"/>
      <c r="C4" s="80"/>
      <c r="D4" s="81"/>
      <c r="E4" s="80" t="s">
        <v>170</v>
      </c>
      <c r="F4" s="82" t="s">
        <v>24</v>
      </c>
      <c r="G4" s="80"/>
      <c r="H4" s="81"/>
    </row>
    <row r="5" spans="1:8" ht="14.45" x14ac:dyDescent="0.3">
      <c r="A5" s="83"/>
      <c r="B5" s="84"/>
      <c r="C5" s="83"/>
      <c r="D5" s="84"/>
      <c r="E5" s="83" t="s">
        <v>168</v>
      </c>
      <c r="F5" s="85">
        <v>0</v>
      </c>
      <c r="G5" s="83"/>
      <c r="H5" s="84"/>
    </row>
    <row r="6" spans="1:8" ht="14.45" x14ac:dyDescent="0.3">
      <c r="A6" s="83"/>
      <c r="B6" s="84"/>
      <c r="C6" s="83"/>
      <c r="D6" s="84"/>
      <c r="E6" s="83" t="s">
        <v>169</v>
      </c>
      <c r="F6" s="85" t="s">
        <v>0</v>
      </c>
      <c r="G6" s="83"/>
      <c r="H6" s="84"/>
    </row>
    <row r="7" spans="1:8" ht="14.45" x14ac:dyDescent="0.3">
      <c r="A7" s="83"/>
      <c r="B7" s="84"/>
      <c r="C7" s="83"/>
      <c r="D7" s="84"/>
      <c r="E7" s="83"/>
      <c r="F7" s="86"/>
      <c r="G7" s="83"/>
      <c r="H7" s="84"/>
    </row>
    <row r="8" spans="1:8" ht="14.45" x14ac:dyDescent="0.3">
      <c r="A8" s="83"/>
      <c r="B8" s="84"/>
      <c r="C8" s="83"/>
      <c r="D8" s="84"/>
      <c r="E8" s="83"/>
      <c r="F8" s="87"/>
      <c r="G8" s="83"/>
      <c r="H8" s="84"/>
    </row>
    <row r="9" spans="1:8" thickBot="1" x14ac:dyDescent="0.35">
      <c r="A9" s="88"/>
      <c r="B9" s="89"/>
      <c r="C9" s="88"/>
      <c r="D9" s="89"/>
      <c r="E9" s="83"/>
      <c r="F9" s="87"/>
      <c r="G9" s="88"/>
      <c r="H9" s="89"/>
    </row>
    <row r="10" spans="1:8" ht="15.75" thickBot="1" x14ac:dyDescent="0.3">
      <c r="A10" s="137" t="s">
        <v>171</v>
      </c>
      <c r="B10" s="138"/>
      <c r="C10" s="139" t="s">
        <v>172</v>
      </c>
      <c r="D10" s="140"/>
      <c r="E10" s="141" t="s">
        <v>173</v>
      </c>
      <c r="F10" s="142"/>
      <c r="G10" s="143" t="s">
        <v>174</v>
      </c>
      <c r="H10" s="144"/>
    </row>
  </sheetData>
  <mergeCells count="8">
    <mergeCell ref="A10:B10"/>
    <mergeCell ref="C10:D10"/>
    <mergeCell ref="E10:F10"/>
    <mergeCell ref="G10:H10"/>
    <mergeCell ref="A1:B3"/>
    <mergeCell ref="C1:D3"/>
    <mergeCell ref="E1:F3"/>
    <mergeCell ref="G1:H3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3" r:id="rId3" name="DIP_COR_folder">
              <controlPr defaultSize="0" print="0" autoFill="0" autoPict="0" macro="[0]!DIP_input_selector">
                <anchor moveWithCells="1" sizeWithCells="1">
                  <from>
                    <xdr:col>4</xdr:col>
                    <xdr:colOff>66675</xdr:colOff>
                    <xdr:row>7</xdr:row>
                    <xdr:rowOff>133350</xdr:rowOff>
                  </from>
                  <to>
                    <xdr:col>5</xdr:col>
                    <xdr:colOff>2105025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4" name="DIP_COR_file">
              <controlPr defaultSize="0" print="0" autoFill="0" autoPict="0" macro="[0]!DIP_input_selector">
                <anchor moveWithCells="1" sizeWithCells="1">
                  <from>
                    <xdr:col>4</xdr:col>
                    <xdr:colOff>57150</xdr:colOff>
                    <xdr:row>6</xdr:row>
                    <xdr:rowOff>57150</xdr:rowOff>
                  </from>
                  <to>
                    <xdr:col>5</xdr:col>
                    <xdr:colOff>2095500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5" name="DIP_FIR_folder">
              <controlPr defaultSize="0" print="0" autoFill="0" autoPict="0" macro="[0]!DIP_input_selector">
                <anchor moveWithCells="1" sizeWithCells="1">
                  <from>
                    <xdr:col>2</xdr:col>
                    <xdr:colOff>28575</xdr:colOff>
                    <xdr:row>7</xdr:row>
                    <xdr:rowOff>133350</xdr:rowOff>
                  </from>
                  <to>
                    <xdr:col>3</xdr:col>
                    <xdr:colOff>2066925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6" name="DIP_FIR_file">
              <controlPr defaultSize="0" print="0" autoFill="0" autoPict="0" macro="[0]!DIP_input_selector">
                <anchor moveWithCells="1" sizeWithCells="1">
                  <from>
                    <xdr:col>2</xdr:col>
                    <xdr:colOff>19050</xdr:colOff>
                    <xdr:row>6</xdr:row>
                    <xdr:rowOff>57150</xdr:rowOff>
                  </from>
                  <to>
                    <xdr:col>3</xdr:col>
                    <xdr:colOff>2057400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7" name="DIP_EXP_file">
              <controlPr defaultSize="0" print="0" autoFill="0" autoPict="0" macro="[0]!DIP_input_selector">
                <anchor moveWithCells="1" sizeWithCells="1">
                  <from>
                    <xdr:col>0</xdr:col>
                    <xdr:colOff>47625</xdr:colOff>
                    <xdr:row>6</xdr:row>
                    <xdr:rowOff>66675</xdr:rowOff>
                  </from>
                  <to>
                    <xdr:col>1</xdr:col>
                    <xdr:colOff>2085975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8" name="DIP_QAL_folder">
              <controlPr defaultSize="0" print="0" autoFill="0" autoPict="0" macro="[0]!DIP_input_selector">
                <anchor moveWithCells="1" sizeWithCells="1">
                  <from>
                    <xdr:col>6</xdr:col>
                    <xdr:colOff>57150</xdr:colOff>
                    <xdr:row>7</xdr:row>
                    <xdr:rowOff>123825</xdr:rowOff>
                  </from>
                  <to>
                    <xdr:col>7</xdr:col>
                    <xdr:colOff>2095500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9" name="DIP_QAL_file">
              <controlPr defaultSize="0" print="0" autoFill="0" autoPict="0" macro="[0]!DIP_input_selector">
                <anchor moveWithCells="1" sizeWithCells="1">
                  <from>
                    <xdr:col>6</xdr:col>
                    <xdr:colOff>47625</xdr:colOff>
                    <xdr:row>6</xdr:row>
                    <xdr:rowOff>47625</xdr:rowOff>
                  </from>
                  <to>
                    <xdr:col>7</xdr:col>
                    <xdr:colOff>2085975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0" name="DIP_EXP_folder">
              <controlPr defaultSize="0" print="0" autoFill="0" autoPict="0" macro="[0]!DIP_input_selector">
                <anchor moveWithCells="1" sizeWithCells="1">
                  <from>
                    <xdr:col>0</xdr:col>
                    <xdr:colOff>57150</xdr:colOff>
                    <xdr:row>7</xdr:row>
                    <xdr:rowOff>133350</xdr:rowOff>
                  </from>
                  <to>
                    <xdr:col>1</xdr:col>
                    <xdr:colOff>2095500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1" name="Button 16">
              <controlPr defaultSize="0" print="0" autoFill="0" autoPict="0" macro="[0]!UPD_update_readin">
                <anchor moveWithCells="1" sizeWithCells="1">
                  <from>
                    <xdr:col>8</xdr:col>
                    <xdr:colOff>428625</xdr:colOff>
                    <xdr:row>0</xdr:row>
                    <xdr:rowOff>85725</xdr:rowOff>
                  </from>
                  <to>
                    <xdr:col>12</xdr:col>
                    <xdr:colOff>104775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tabColor rgb="FF7D7D7D"/>
  </sheetPr>
  <dimension ref="A1:W11"/>
  <sheetViews>
    <sheetView zoomScaleNormal="100" workbookViewId="0">
      <selection activeCell="S22" sqref="S22"/>
    </sheetView>
  </sheetViews>
  <sheetFormatPr baseColWidth="10" defaultRowHeight="15" x14ac:dyDescent="0.25"/>
  <cols>
    <col min="1" max="1" width="14.42578125" style="90" customWidth="1"/>
    <col min="2" max="2" width="11.85546875" style="90" bestFit="1" customWidth="1"/>
    <col min="3" max="4" width="11.42578125" style="90"/>
    <col min="5" max="5" width="12" style="90" bestFit="1" customWidth="1"/>
    <col min="6" max="6" width="13.28515625" style="90" bestFit="1" customWidth="1"/>
    <col min="7" max="16384" width="11.42578125" style="90"/>
  </cols>
  <sheetData>
    <row r="1" spans="1:23" ht="15" customHeight="1" x14ac:dyDescent="0.25">
      <c r="A1" s="169" t="s">
        <v>197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</row>
    <row r="2" spans="1:23" ht="15" customHeight="1" x14ac:dyDescent="0.25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</row>
    <row r="4" spans="1:23" x14ac:dyDescent="0.25">
      <c r="B4" s="91" t="s">
        <v>198</v>
      </c>
      <c r="C4" s="92" t="s">
        <v>177</v>
      </c>
      <c r="D4" s="92" t="s">
        <v>178</v>
      </c>
      <c r="E4" s="176" t="s">
        <v>180</v>
      </c>
      <c r="F4" s="177"/>
      <c r="G4" s="177"/>
      <c r="H4" s="178"/>
      <c r="I4" s="170" t="s">
        <v>181</v>
      </c>
      <c r="J4" s="170"/>
      <c r="K4" s="92" t="s">
        <v>182</v>
      </c>
      <c r="L4" s="92" t="s">
        <v>183</v>
      </c>
      <c r="M4" s="92" t="s">
        <v>196</v>
      </c>
      <c r="N4" s="92" t="s">
        <v>195</v>
      </c>
      <c r="O4" s="92" t="s">
        <v>203</v>
      </c>
      <c r="P4" s="170" t="s">
        <v>181</v>
      </c>
      <c r="Q4" s="170"/>
      <c r="R4" s="92" t="s">
        <v>182</v>
      </c>
      <c r="S4" s="92" t="s">
        <v>183</v>
      </c>
      <c r="T4" s="92" t="s">
        <v>196</v>
      </c>
      <c r="U4" s="92" t="s">
        <v>195</v>
      </c>
    </row>
    <row r="5" spans="1:23" x14ac:dyDescent="0.25">
      <c r="B5" s="93">
        <v>1</v>
      </c>
      <c r="C5" s="94">
        <v>30</v>
      </c>
      <c r="D5" s="94">
        <v>20</v>
      </c>
      <c r="E5" s="171" t="s">
        <v>326</v>
      </c>
      <c r="F5" s="172"/>
      <c r="G5" s="172"/>
      <c r="H5" s="173"/>
      <c r="I5" s="174" t="s">
        <v>309</v>
      </c>
      <c r="J5" s="174"/>
      <c r="K5" s="94">
        <v>0</v>
      </c>
      <c r="L5" s="94" t="s">
        <v>185</v>
      </c>
      <c r="M5" s="94" t="s">
        <v>185</v>
      </c>
      <c r="N5" s="94" t="s">
        <v>185</v>
      </c>
      <c r="O5" s="95">
        <v>1</v>
      </c>
      <c r="P5" s="175" t="s">
        <v>328</v>
      </c>
      <c r="Q5" s="173"/>
      <c r="R5" s="102" t="s">
        <v>185</v>
      </c>
      <c r="S5" s="94" t="s">
        <v>185</v>
      </c>
      <c r="T5" s="94" t="s">
        <v>185</v>
      </c>
      <c r="U5" s="94" t="s">
        <v>185</v>
      </c>
    </row>
    <row r="6" spans="1:23" x14ac:dyDescent="0.25">
      <c r="K6" s="96"/>
      <c r="L6" s="96"/>
      <c r="M6" s="97"/>
      <c r="N6" s="97"/>
      <c r="O6" s="98">
        <v>2</v>
      </c>
      <c r="P6" s="181" t="s">
        <v>321</v>
      </c>
      <c r="Q6" s="173"/>
      <c r="R6" s="99">
        <v>0</v>
      </c>
      <c r="S6" s="94" t="s">
        <v>185</v>
      </c>
      <c r="T6" s="94" t="s">
        <v>185</v>
      </c>
      <c r="U6" s="94" t="s">
        <v>185</v>
      </c>
    </row>
    <row r="8" spans="1:23" x14ac:dyDescent="0.25">
      <c r="C8" s="91" t="s">
        <v>199</v>
      </c>
      <c r="D8" s="92" t="s">
        <v>200</v>
      </c>
      <c r="E8" s="176" t="s">
        <v>187</v>
      </c>
      <c r="F8" s="178"/>
      <c r="G8" s="91" t="s">
        <v>179</v>
      </c>
      <c r="H8" s="176" t="s">
        <v>181</v>
      </c>
      <c r="I8" s="177"/>
      <c r="J8" s="178"/>
      <c r="K8" s="92" t="s">
        <v>188</v>
      </c>
      <c r="L8" s="92" t="s">
        <v>189</v>
      </c>
      <c r="M8" s="92" t="s">
        <v>190</v>
      </c>
      <c r="N8" s="100"/>
      <c r="P8" s="101"/>
    </row>
    <row r="9" spans="1:23" x14ac:dyDescent="0.25">
      <c r="C9" s="93">
        <v>1</v>
      </c>
      <c r="D9" s="94">
        <v>1</v>
      </c>
      <c r="E9" s="179">
        <v>1</v>
      </c>
      <c r="F9" s="180"/>
      <c r="G9" s="102" t="s">
        <v>276</v>
      </c>
      <c r="H9" s="181" t="s">
        <v>327</v>
      </c>
      <c r="I9" s="172"/>
      <c r="J9" s="173"/>
      <c r="K9" s="103"/>
      <c r="L9" s="94">
        <v>1</v>
      </c>
      <c r="M9" s="94">
        <v>2</v>
      </c>
    </row>
    <row r="10" spans="1:23" x14ac:dyDescent="0.25">
      <c r="C10" s="93">
        <v>2</v>
      </c>
      <c r="D10" s="94">
        <v>1</v>
      </c>
      <c r="E10" s="179">
        <v>3</v>
      </c>
      <c r="F10" s="180"/>
      <c r="G10" s="102" t="s">
        <v>333</v>
      </c>
      <c r="H10" s="181" t="s">
        <v>331</v>
      </c>
      <c r="I10" s="172"/>
      <c r="J10" s="173"/>
      <c r="K10" s="104"/>
      <c r="L10" s="94">
        <v>1</v>
      </c>
      <c r="M10" s="94">
        <v>2</v>
      </c>
    </row>
    <row r="11" spans="1:23" x14ac:dyDescent="0.25">
      <c r="C11" s="59">
        <v>3</v>
      </c>
      <c r="D11" s="105">
        <v>1</v>
      </c>
      <c r="E11" s="128">
        <v>2</v>
      </c>
      <c r="F11" s="129"/>
      <c r="G11" s="105" t="s">
        <v>275</v>
      </c>
      <c r="H11" s="127" t="s">
        <v>332</v>
      </c>
      <c r="I11" s="122"/>
      <c r="J11" s="123"/>
      <c r="K11" s="106"/>
      <c r="L11" s="105">
        <v>1</v>
      </c>
      <c r="M11" s="105">
        <v>2</v>
      </c>
    </row>
  </sheetData>
  <mergeCells count="16">
    <mergeCell ref="E10:F10"/>
    <mergeCell ref="H10:J10"/>
    <mergeCell ref="E11:F11"/>
    <mergeCell ref="H11:J11"/>
    <mergeCell ref="P6:Q6"/>
    <mergeCell ref="E9:F9"/>
    <mergeCell ref="H9:J9"/>
    <mergeCell ref="E8:F8"/>
    <mergeCell ref="H8:J8"/>
    <mergeCell ref="A1:W2"/>
    <mergeCell ref="P4:Q4"/>
    <mergeCell ref="E5:H5"/>
    <mergeCell ref="I5:J5"/>
    <mergeCell ref="P5:Q5"/>
    <mergeCell ref="E4:H4"/>
    <mergeCell ref="I4:J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71" r:id="rId4" name="Button 699">
              <controlPr defaultSize="0" print="0" autoFill="0" autoPict="0" macro="[0]!DIA_copy_template">
                <anchor moveWithCells="1" sizeWithCells="1">
                  <from>
                    <xdr:col>2</xdr:col>
                    <xdr:colOff>171450</xdr:colOff>
                    <xdr:row>0</xdr:row>
                    <xdr:rowOff>76200</xdr:rowOff>
                  </from>
                  <to>
                    <xdr:col>4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4" r:id="rId5" name="Button 712">
              <controlPr defaultSize="0" print="0" autoFill="0" autoPict="0" macro="[0]!DIA_plot">
                <anchor moveWithCells="1" sizeWithCells="1">
                  <from>
                    <xdr:col>20</xdr:col>
                    <xdr:colOff>47625</xdr:colOff>
                    <xdr:row>0</xdr:row>
                    <xdr:rowOff>85725</xdr:rowOff>
                  </from>
                  <to>
                    <xdr:col>22</xdr:col>
                    <xdr:colOff>542925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01" r:id="rId6" name="button_addline">
              <controlPr defaultSize="0" print="0" autoFill="0" autoPict="0" macro="[0]!DIA_add_line">
                <anchor moveWithCells="1" sizeWithCells="1">
                  <from>
                    <xdr:col>13</xdr:col>
                    <xdr:colOff>95250</xdr:colOff>
                    <xdr:row>7</xdr:row>
                    <xdr:rowOff>0</xdr:rowOff>
                  </from>
                  <to>
                    <xdr:col>13</xdr:col>
                    <xdr:colOff>628650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98" r:id="rId7" name="button_deleteline 3">
              <controlPr defaultSize="0" print="0" autoFill="0" autoPict="0" macro="[0]!DIA_delete_line">
                <anchor moveWithCells="1" sizeWithCells="1">
                  <from>
                    <xdr:col>13</xdr:col>
                    <xdr:colOff>200025</xdr:colOff>
                    <xdr:row>8</xdr:row>
                    <xdr:rowOff>19050</xdr:rowOff>
                  </from>
                  <to>
                    <xdr:col>13</xdr:col>
                    <xdr:colOff>504825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9" r:id="rId8" name="button_deleteline 6">
              <controlPr defaultSize="0" print="0" autoFill="0" autoPict="0" macro="[0]!DIA_delete_line">
                <anchor moveWithCells="1" sizeWithCells="1">
                  <from>
                    <xdr:col>13</xdr:col>
                    <xdr:colOff>200025</xdr:colOff>
                    <xdr:row>9</xdr:row>
                    <xdr:rowOff>19050</xdr:rowOff>
                  </from>
                  <to>
                    <xdr:col>13</xdr:col>
                    <xdr:colOff>504825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1" r:id="rId9" name="dropdown_line_ 1">
              <controlPr defaultSize="0" autoFill="0" autoPict="0">
                <anchor moveWithCells="1">
                  <from>
                    <xdr:col>4</xdr:col>
                    <xdr:colOff>28575</xdr:colOff>
                    <xdr:row>8</xdr:row>
                    <xdr:rowOff>19050</xdr:rowOff>
                  </from>
                  <to>
                    <xdr:col>5</xdr:col>
                    <xdr:colOff>752475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2" r:id="rId10" name="dropdown_line_ 2">
              <controlPr defaultSize="0" autoFill="0" autoPict="0">
                <anchor moveWithCells="1">
                  <from>
                    <xdr:col>4</xdr:col>
                    <xdr:colOff>28575</xdr:colOff>
                    <xdr:row>9</xdr:row>
                    <xdr:rowOff>19050</xdr:rowOff>
                  </from>
                  <to>
                    <xdr:col>5</xdr:col>
                    <xdr:colOff>752475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3" r:id="rId11" name="dropdown_line_ 3">
              <controlPr defaultSize="0" autoFill="0" autoPict="0">
                <anchor moveWithCells="1">
                  <from>
                    <xdr:col>4</xdr:col>
                    <xdr:colOff>28575</xdr:colOff>
                    <xdr:row>10</xdr:row>
                    <xdr:rowOff>28575</xdr:rowOff>
                  </from>
                  <to>
                    <xdr:col>5</xdr:col>
                    <xdr:colOff>752475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4" r:id="rId12" name="Button 4344">
              <controlPr defaultSize="0" print="0" autoFill="0" autoPict="0" macro="[0]!DIA_delete_line">
                <anchor moveWithCells="1" sizeWithCells="1">
                  <from>
                    <xdr:col>13</xdr:col>
                    <xdr:colOff>200025</xdr:colOff>
                    <xdr:row>10</xdr:row>
                    <xdr:rowOff>19050</xdr:rowOff>
                  </from>
                  <to>
                    <xdr:col>13</xdr:col>
                    <xdr:colOff>504825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>
    <tabColor rgb="FF7D7D7D"/>
  </sheetPr>
  <dimension ref="A1:T7"/>
  <sheetViews>
    <sheetView zoomScale="85" zoomScaleNormal="85" workbookViewId="0">
      <pane ySplit="7" topLeftCell="A32" activePane="bottomLeft" state="frozen"/>
      <selection pane="bottomLeft" activeCell="X40" sqref="X40"/>
    </sheetView>
  </sheetViews>
  <sheetFormatPr baseColWidth="10" defaultRowHeight="15" x14ac:dyDescent="0.25"/>
  <sheetData>
    <row r="1" spans="1:20" s="182" customFormat="1" x14ac:dyDescent="0.25">
      <c r="A1" s="182" t="s">
        <v>215</v>
      </c>
    </row>
    <row r="2" spans="1:20" s="182" customFormat="1" x14ac:dyDescent="0.25"/>
    <row r="5" spans="1:20" ht="14.45" x14ac:dyDescent="0.3">
      <c r="D5" s="55"/>
      <c r="E5" s="55"/>
      <c r="F5" s="55"/>
      <c r="G5" s="55"/>
      <c r="H5" s="125" t="s">
        <v>201</v>
      </c>
      <c r="I5" s="120"/>
      <c r="J5" s="120"/>
      <c r="K5" s="120"/>
      <c r="L5" s="120"/>
      <c r="M5" s="121"/>
      <c r="N5" s="125" t="s">
        <v>202</v>
      </c>
      <c r="O5" s="120"/>
      <c r="P5" s="120"/>
      <c r="Q5" s="120"/>
      <c r="R5" s="120"/>
      <c r="S5" s="120"/>
      <c r="T5" s="121"/>
    </row>
    <row r="6" spans="1:20" x14ac:dyDescent="0.25">
      <c r="A6" s="72" t="s">
        <v>213</v>
      </c>
      <c r="B6" s="57" t="s">
        <v>211</v>
      </c>
      <c r="C6" s="58" t="s">
        <v>212</v>
      </c>
      <c r="D6" s="75" t="s">
        <v>210</v>
      </c>
      <c r="E6" s="120" t="s">
        <v>180</v>
      </c>
      <c r="F6" s="120"/>
      <c r="G6" s="121"/>
      <c r="H6" s="125" t="s">
        <v>181</v>
      </c>
      <c r="I6" s="121"/>
      <c r="J6" s="57" t="s">
        <v>182</v>
      </c>
      <c r="K6" s="57" t="s">
        <v>183</v>
      </c>
      <c r="L6" s="57" t="s">
        <v>196</v>
      </c>
      <c r="M6" s="57" t="s">
        <v>195</v>
      </c>
      <c r="N6" s="57" t="s">
        <v>203</v>
      </c>
      <c r="O6" s="125" t="s">
        <v>181</v>
      </c>
      <c r="P6" s="121"/>
      <c r="Q6" s="57" t="s">
        <v>182</v>
      </c>
      <c r="R6" s="57" t="s">
        <v>183</v>
      </c>
      <c r="S6" s="57" t="s">
        <v>196</v>
      </c>
      <c r="T6" s="57" t="s">
        <v>195</v>
      </c>
    </row>
    <row r="7" spans="1:20" x14ac:dyDescent="0.25">
      <c r="A7" s="59" t="s">
        <v>277</v>
      </c>
      <c r="B7" s="74" t="s">
        <v>276</v>
      </c>
      <c r="C7" s="74" t="s">
        <v>275</v>
      </c>
      <c r="D7" s="74" t="s">
        <v>217</v>
      </c>
      <c r="E7" s="122" t="s">
        <v>256</v>
      </c>
      <c r="F7" s="122"/>
      <c r="G7" s="123"/>
      <c r="H7" s="127" t="s">
        <v>222</v>
      </c>
      <c r="I7" s="123"/>
      <c r="J7" s="74" t="s">
        <v>185</v>
      </c>
      <c r="K7" s="74" t="s">
        <v>185</v>
      </c>
      <c r="L7" s="77" t="s">
        <v>185</v>
      </c>
      <c r="M7" s="76" t="s">
        <v>185</v>
      </c>
      <c r="N7" s="69">
        <v>1</v>
      </c>
      <c r="O7" s="127" t="s">
        <v>223</v>
      </c>
      <c r="P7" s="123"/>
      <c r="Q7" s="77">
        <v>0</v>
      </c>
      <c r="R7" s="77" t="s">
        <v>185</v>
      </c>
      <c r="S7" s="74" t="s">
        <v>185</v>
      </c>
      <c r="T7" s="74" t="s">
        <v>185</v>
      </c>
    </row>
  </sheetData>
  <mergeCells count="9">
    <mergeCell ref="E7:G7"/>
    <mergeCell ref="H7:I7"/>
    <mergeCell ref="O7:P7"/>
    <mergeCell ref="A1:XFD2"/>
    <mergeCell ref="H5:M5"/>
    <mergeCell ref="N5:T5"/>
    <mergeCell ref="E6:G6"/>
    <mergeCell ref="H6:I6"/>
    <mergeCell ref="O6:P6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DIA_fastplot">
                <anchor moveWithCells="1" sizeWithCells="1">
                  <from>
                    <xdr:col>20</xdr:col>
                    <xdr:colOff>752475</xdr:colOff>
                    <xdr:row>3</xdr:row>
                    <xdr:rowOff>0</xdr:rowOff>
                  </from>
                  <to>
                    <xdr:col>22</xdr:col>
                    <xdr:colOff>752475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4">
    <tabColor rgb="FF7D7D7D"/>
  </sheetPr>
  <dimension ref="A1:V15"/>
  <sheetViews>
    <sheetView zoomScale="85" zoomScaleNormal="85" workbookViewId="0">
      <pane ySplit="15" topLeftCell="A16" activePane="bottomLeft" state="frozen"/>
      <selection activeCell="C47" sqref="C47"/>
      <selection pane="bottomLeft" activeCell="C52" sqref="C52"/>
    </sheetView>
  </sheetViews>
  <sheetFormatPr baseColWidth="10" defaultRowHeight="15" x14ac:dyDescent="0.25"/>
  <cols>
    <col min="1" max="1" width="10.28515625" customWidth="1"/>
    <col min="2" max="2" width="24" customWidth="1"/>
    <col min="3" max="3" width="19.85546875" customWidth="1"/>
    <col min="4" max="4" width="12.28515625" customWidth="1"/>
    <col min="7" max="7" width="20" customWidth="1"/>
    <col min="8" max="8" width="19.7109375" customWidth="1"/>
    <col min="9" max="9" width="18.42578125" customWidth="1"/>
    <col min="12" max="12" width="21.7109375" customWidth="1"/>
    <col min="13" max="13" width="58" customWidth="1"/>
  </cols>
  <sheetData>
    <row r="1" spans="1:22" s="110" customFormat="1" x14ac:dyDescent="0.25">
      <c r="A1" s="107" t="s">
        <v>224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9"/>
    </row>
    <row r="2" spans="1:22" s="110" customFormat="1" x14ac:dyDescent="0.25">
      <c r="A2" s="111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3"/>
    </row>
    <row r="3" spans="1:22" thickBot="1" x14ac:dyDescent="0.35"/>
    <row r="4" spans="1:22" ht="18.600000000000001" thickBot="1" x14ac:dyDescent="0.4">
      <c r="B4" s="114" t="s">
        <v>3</v>
      </c>
      <c r="C4" s="115"/>
      <c r="D4" s="116"/>
      <c r="G4" s="114" t="s">
        <v>4</v>
      </c>
      <c r="H4" s="115"/>
      <c r="I4" s="116"/>
      <c r="L4" s="117" t="s">
        <v>5</v>
      </c>
      <c r="M4" s="118"/>
      <c r="N4" s="118"/>
      <c r="O4" s="118"/>
      <c r="P4" s="118"/>
      <c r="Q4" s="119"/>
    </row>
    <row r="5" spans="1:22" ht="14.45" x14ac:dyDescent="0.3">
      <c r="B5" s="3"/>
      <c r="C5" s="4"/>
      <c r="D5" s="5"/>
      <c r="G5" s="3"/>
      <c r="H5" s="4"/>
      <c r="I5" s="5"/>
      <c r="L5" s="3"/>
      <c r="M5" s="4"/>
      <c r="N5" s="4"/>
      <c r="O5" s="4"/>
      <c r="P5" s="4"/>
      <c r="Q5" s="5"/>
    </row>
    <row r="6" spans="1:22" ht="18.75" customHeight="1" x14ac:dyDescent="0.3">
      <c r="B6" s="3"/>
      <c r="C6" s="4"/>
      <c r="D6" s="5"/>
      <c r="F6" s="6"/>
      <c r="G6" s="3"/>
      <c r="H6" s="4"/>
      <c r="I6" s="5"/>
      <c r="K6" s="6"/>
      <c r="L6" s="3"/>
      <c r="M6" s="4"/>
      <c r="N6" s="4"/>
      <c r="O6" s="4"/>
      <c r="P6" s="4"/>
      <c r="Q6" s="5"/>
    </row>
    <row r="7" spans="1:22" ht="14.45" x14ac:dyDescent="0.3">
      <c r="B7" s="3"/>
      <c r="C7" s="7">
        <v>3</v>
      </c>
      <c r="D7" s="5"/>
      <c r="F7" s="6"/>
      <c r="G7" s="8"/>
      <c r="H7" s="4"/>
      <c r="I7" s="5"/>
      <c r="K7" s="6"/>
      <c r="L7" s="3"/>
      <c r="M7" s="4"/>
      <c r="N7" s="4"/>
      <c r="O7" s="4"/>
      <c r="P7" s="4"/>
      <c r="Q7" s="5"/>
    </row>
    <row r="8" spans="1:22" ht="14.45" x14ac:dyDescent="0.3">
      <c r="B8" s="9" t="s">
        <v>6</v>
      </c>
      <c r="C8" s="10">
        <v>0</v>
      </c>
      <c r="D8" s="5" t="s">
        <v>7</v>
      </c>
      <c r="F8" s="6"/>
      <c r="G8" s="3" t="s">
        <v>220</v>
      </c>
      <c r="H8" s="4">
        <v>1</v>
      </c>
      <c r="I8" s="5"/>
      <c r="K8" s="6"/>
      <c r="L8" s="3" t="s">
        <v>8</v>
      </c>
      <c r="M8" s="10" t="s">
        <v>225</v>
      </c>
      <c r="N8" s="4"/>
      <c r="O8" s="4"/>
      <c r="P8" s="4"/>
      <c r="Q8" s="5"/>
    </row>
    <row r="9" spans="1:22" ht="14.45" x14ac:dyDescent="0.3">
      <c r="B9" s="9" t="s">
        <v>9</v>
      </c>
      <c r="C9" s="10">
        <v>15</v>
      </c>
      <c r="D9" s="5" t="s">
        <v>7</v>
      </c>
      <c r="F9" s="6"/>
      <c r="G9" s="3"/>
      <c r="H9" s="4"/>
      <c r="I9" s="5"/>
      <c r="K9" s="6"/>
      <c r="L9" s="3" t="s">
        <v>10</v>
      </c>
      <c r="M9" s="10" t="s">
        <v>218</v>
      </c>
      <c r="N9" s="4"/>
      <c r="O9" s="4"/>
      <c r="P9" s="4"/>
      <c r="Q9" s="5"/>
    </row>
    <row r="10" spans="1:22" ht="14.45" x14ac:dyDescent="0.3">
      <c r="B10" s="9" t="s">
        <v>23</v>
      </c>
      <c r="C10" s="11">
        <v>1</v>
      </c>
      <c r="D10" s="5" t="s">
        <v>28</v>
      </c>
      <c r="F10" s="6"/>
      <c r="G10" s="3"/>
      <c r="H10" s="4"/>
      <c r="I10" s="5"/>
      <c r="K10" s="6"/>
      <c r="L10" s="3" t="s">
        <v>11</v>
      </c>
      <c r="M10" s="10">
        <v>0</v>
      </c>
      <c r="N10" s="4"/>
      <c r="O10" s="4"/>
      <c r="P10" s="4"/>
      <c r="Q10" s="5"/>
    </row>
    <row r="11" spans="1:22" thickBot="1" x14ac:dyDescent="0.35">
      <c r="B11" s="9" t="s">
        <v>12</v>
      </c>
      <c r="C11" s="10">
        <v>1</v>
      </c>
      <c r="D11" s="5" t="s">
        <v>7</v>
      </c>
      <c r="F11" s="6"/>
      <c r="G11" s="3"/>
      <c r="H11" s="4"/>
      <c r="I11" s="5"/>
      <c r="K11" s="6"/>
      <c r="L11" s="3" t="s">
        <v>13</v>
      </c>
      <c r="M11" s="10" t="s">
        <v>22</v>
      </c>
      <c r="N11" s="4"/>
      <c r="O11" s="4"/>
      <c r="P11" s="4"/>
      <c r="Q11" s="5"/>
    </row>
    <row r="12" spans="1:22" ht="27" customHeight="1" thickBot="1" x14ac:dyDescent="0.35">
      <c r="B12" s="12" t="s">
        <v>14</v>
      </c>
      <c r="C12" s="13">
        <f>((C7-ABS(C8))/C10)/10000</f>
        <v>2.9999999999999997E-4</v>
      </c>
      <c r="D12" s="14">
        <f>((C7-ABS(C8))/C10)/10000</f>
        <v>2.9999999999999997E-4</v>
      </c>
      <c r="E12" s="15"/>
      <c r="F12" s="6"/>
      <c r="G12" s="16"/>
      <c r="H12" s="17"/>
      <c r="I12" s="19">
        <v>1</v>
      </c>
      <c r="K12" s="6"/>
      <c r="L12" s="16"/>
      <c r="M12" s="17"/>
      <c r="N12" s="17"/>
      <c r="O12" s="17"/>
      <c r="P12" s="17"/>
      <c r="Q12" s="18"/>
    </row>
    <row r="13" spans="1:22" ht="15.75" customHeight="1" x14ac:dyDescent="0.3">
      <c r="C13" s="2">
        <f>C12</f>
        <v>2.9999999999999997E-4</v>
      </c>
    </row>
    <row r="14" spans="1:22" s="110" customFormat="1" x14ac:dyDescent="0.25">
      <c r="A14" s="107" t="s">
        <v>15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9"/>
    </row>
    <row r="15" spans="1:22" s="110" customFormat="1" x14ac:dyDescent="0.25">
      <c r="A15" s="111"/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3"/>
    </row>
  </sheetData>
  <mergeCells count="5">
    <mergeCell ref="A1:XFD2"/>
    <mergeCell ref="B4:D4"/>
    <mergeCell ref="G4:I4"/>
    <mergeCell ref="L4:Q4"/>
    <mergeCell ref="A14:XFD15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slider_images">
              <controlPr defaultSize="0" autoPict="0">
                <anchor moveWithCells="1">
                  <from>
                    <xdr:col>1</xdr:col>
                    <xdr:colOff>76200</xdr:colOff>
                    <xdr:row>5</xdr:row>
                    <xdr:rowOff>0</xdr:rowOff>
                  </from>
                  <to>
                    <xdr:col>3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print="0" autoFill="0" autoPict="0" macro="[0]!MVT_load_diagram">
                <anchor moveWithCells="1" sizeWithCells="1">
                  <from>
                    <xdr:col>6</xdr:col>
                    <xdr:colOff>295275</xdr:colOff>
                    <xdr:row>4</xdr:row>
                    <xdr:rowOff>152400</xdr:rowOff>
                  </from>
                  <to>
                    <xdr:col>8</xdr:col>
                    <xdr:colOff>990600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print="0" autoFill="0" autoPict="0" macro="[0]!MVT_Image_setpath">
                <anchor moveWithCells="1" sizeWithCells="1">
                  <from>
                    <xdr:col>12</xdr:col>
                    <xdr:colOff>0</xdr:colOff>
                    <xdr:row>11</xdr:row>
                    <xdr:rowOff>95250</xdr:rowOff>
                  </from>
                  <to>
                    <xdr:col>13</xdr:col>
                    <xdr:colOff>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7" name="Button 4">
              <controlPr defaultSize="0" print="0" autoFill="0" autoPict="0" macro="[0]!MVT_Image_Load">
                <anchor moveWithCells="1" sizeWithCells="1">
                  <from>
                    <xdr:col>13</xdr:col>
                    <xdr:colOff>742950</xdr:colOff>
                    <xdr:row>6</xdr:row>
                    <xdr:rowOff>19050</xdr:rowOff>
                  </from>
                  <to>
                    <xdr:col>15</xdr:col>
                    <xdr:colOff>752475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8" name="Button 5">
              <controlPr defaultSize="0" print="0" autoFill="0" autoPict="0" macro="[0]!MVT_update_diagram_list">
                <anchor moveWithCells="1" sizeWithCells="1">
                  <from>
                    <xdr:col>6</xdr:col>
                    <xdr:colOff>209550</xdr:colOff>
                    <xdr:row>8</xdr:row>
                    <xdr:rowOff>47625</xdr:rowOff>
                  </from>
                  <to>
                    <xdr:col>6</xdr:col>
                    <xdr:colOff>990600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9" name="MVT_dropdown_diagrams">
              <controlPr defaultSize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1009650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>
    <tabColor rgb="FF7D7D7D"/>
  </sheetPr>
  <dimension ref="A1:F3"/>
  <sheetViews>
    <sheetView workbookViewId="0">
      <selection activeCell="J21" sqref="J21"/>
    </sheetView>
  </sheetViews>
  <sheetFormatPr baseColWidth="10" defaultRowHeight="15" x14ac:dyDescent="0.25"/>
  <cols>
    <col min="1" max="1" width="8.28515625" bestFit="1" customWidth="1"/>
    <col min="2" max="2" width="8.28515625" customWidth="1"/>
    <col min="3" max="3" width="22.85546875" bestFit="1" customWidth="1"/>
    <col min="4" max="4" width="36.5703125" customWidth="1"/>
    <col min="5" max="5" width="19.85546875" customWidth="1"/>
  </cols>
  <sheetData>
    <row r="1" spans="1:6" ht="13.9" customHeight="1" x14ac:dyDescent="0.3">
      <c r="A1" s="1" t="s">
        <v>16</v>
      </c>
      <c r="B1" s="1" t="s">
        <v>21</v>
      </c>
      <c r="C1" s="1" t="s">
        <v>17</v>
      </c>
      <c r="D1" s="1" t="s">
        <v>18</v>
      </c>
      <c r="E1" s="1" t="s">
        <v>19</v>
      </c>
      <c r="F1" s="1" t="s">
        <v>20</v>
      </c>
    </row>
    <row r="2" spans="1:6" x14ac:dyDescent="0.25">
      <c r="C2" s="78"/>
    </row>
    <row r="3" spans="1:6" ht="14.45" x14ac:dyDescent="0.3">
      <c r="B3" s="20"/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tabColor rgb="FF7D7D7D"/>
  </sheetPr>
  <dimension ref="A1:P13"/>
  <sheetViews>
    <sheetView workbookViewId="0">
      <selection activeCell="A41" sqref="A41"/>
    </sheetView>
  </sheetViews>
  <sheetFormatPr baseColWidth="10" defaultRowHeight="15" x14ac:dyDescent="0.25"/>
  <cols>
    <col min="1" max="1" width="36.5703125" customWidth="1"/>
    <col min="2" max="2" width="17.140625" customWidth="1"/>
    <col min="3" max="3" width="13.42578125" bestFit="1" customWidth="1"/>
    <col min="5" max="5" width="14.42578125" bestFit="1" customWidth="1"/>
    <col min="7" max="7" width="11.5703125" customWidth="1"/>
    <col min="8" max="8" width="21.28515625" bestFit="1" customWidth="1"/>
    <col min="9" max="9" width="13.7109375" bestFit="1" customWidth="1"/>
    <col min="10" max="11" width="21.28515625" bestFit="1" customWidth="1"/>
  </cols>
  <sheetData>
    <row r="1" spans="1:16" ht="34.5" customHeight="1" thickBot="1" x14ac:dyDescent="0.3">
      <c r="A1" s="52" t="s">
        <v>147</v>
      </c>
      <c r="B1" s="53" t="s">
        <v>148</v>
      </c>
      <c r="C1" s="53" t="s">
        <v>149</v>
      </c>
      <c r="D1" s="53" t="s">
        <v>150</v>
      </c>
      <c r="E1" s="53" t="s">
        <v>25</v>
      </c>
      <c r="F1" s="53" t="s">
        <v>151</v>
      </c>
      <c r="G1" s="53" t="s">
        <v>152</v>
      </c>
      <c r="H1" s="53" t="s">
        <v>153</v>
      </c>
      <c r="I1" s="53" t="s">
        <v>154</v>
      </c>
      <c r="J1" s="53" t="s">
        <v>155</v>
      </c>
      <c r="K1" s="54" t="s">
        <v>156</v>
      </c>
      <c r="L1" s="183"/>
      <c r="M1" s="184"/>
      <c r="N1" s="184"/>
      <c r="O1" s="184"/>
      <c r="P1" s="185"/>
    </row>
    <row r="2" spans="1:16" x14ac:dyDescent="0.25">
      <c r="A2" t="s">
        <v>157</v>
      </c>
      <c r="B2" t="s">
        <v>158</v>
      </c>
      <c r="C2" s="51"/>
      <c r="D2" s="51"/>
      <c r="E2" s="51"/>
      <c r="F2" s="51"/>
      <c r="G2" s="51"/>
      <c r="H2" s="51"/>
      <c r="I2" s="50"/>
      <c r="J2" s="51"/>
      <c r="K2" s="51"/>
    </row>
    <row r="3" spans="1:16" x14ac:dyDescent="0.25">
      <c r="A3" t="s">
        <v>159</v>
      </c>
      <c r="B3" t="s">
        <v>158</v>
      </c>
      <c r="C3" s="51"/>
      <c r="D3" s="51"/>
      <c r="E3" s="51"/>
      <c r="F3" s="51"/>
      <c r="G3" s="51"/>
      <c r="H3" s="51"/>
      <c r="I3" s="50"/>
      <c r="J3" s="51"/>
      <c r="K3" s="51"/>
    </row>
    <row r="4" spans="1:16" x14ac:dyDescent="0.25">
      <c r="A4" t="s">
        <v>160</v>
      </c>
      <c r="B4" t="s">
        <v>158</v>
      </c>
      <c r="C4" s="51"/>
      <c r="D4" s="51"/>
      <c r="E4" s="51"/>
      <c r="F4" s="51"/>
      <c r="G4" s="51"/>
      <c r="H4" s="51"/>
      <c r="I4" s="50"/>
      <c r="J4" s="51"/>
      <c r="K4" s="51"/>
    </row>
    <row r="5" spans="1:16" x14ac:dyDescent="0.25">
      <c r="A5" t="s">
        <v>205</v>
      </c>
      <c r="B5" t="s">
        <v>158</v>
      </c>
      <c r="C5" s="51"/>
      <c r="D5" s="51"/>
      <c r="E5" s="51"/>
      <c r="F5" s="51"/>
      <c r="G5" s="51"/>
      <c r="H5" s="51"/>
      <c r="I5" s="50"/>
      <c r="J5" s="51"/>
      <c r="K5" s="51"/>
    </row>
    <row r="6" spans="1:16" x14ac:dyDescent="0.25">
      <c r="A6" t="s">
        <v>162</v>
      </c>
      <c r="B6" t="s">
        <v>161</v>
      </c>
      <c r="C6" s="51"/>
      <c r="D6" s="51"/>
      <c r="E6" s="51"/>
      <c r="F6" s="51"/>
      <c r="G6" s="51"/>
      <c r="H6" s="50"/>
      <c r="I6" s="51"/>
      <c r="J6" s="51"/>
      <c r="K6" s="51"/>
    </row>
    <row r="7" spans="1:16" x14ac:dyDescent="0.25">
      <c r="A7" t="s">
        <v>175</v>
      </c>
      <c r="B7" t="s">
        <v>161</v>
      </c>
      <c r="C7" s="51"/>
      <c r="D7" s="51"/>
      <c r="E7" s="51"/>
      <c r="F7" s="51"/>
      <c r="G7" s="51"/>
      <c r="H7" s="50"/>
      <c r="I7" s="51"/>
      <c r="J7" s="51"/>
      <c r="K7" s="51"/>
    </row>
    <row r="8" spans="1:16" x14ac:dyDescent="0.25">
      <c r="A8" t="s">
        <v>204</v>
      </c>
      <c r="B8" t="s">
        <v>161</v>
      </c>
      <c r="C8" s="51"/>
      <c r="D8" s="51"/>
      <c r="E8" s="51"/>
      <c r="F8" s="51"/>
      <c r="G8" s="51"/>
      <c r="H8" s="50"/>
      <c r="I8" s="51"/>
      <c r="J8" s="51"/>
      <c r="K8" s="51"/>
    </row>
    <row r="9" spans="1:16" x14ac:dyDescent="0.25">
      <c r="A9" t="s">
        <v>216</v>
      </c>
      <c r="B9" t="s">
        <v>161</v>
      </c>
      <c r="C9" s="51"/>
      <c r="D9" s="51"/>
      <c r="E9" s="51"/>
      <c r="F9" s="51"/>
      <c r="G9" s="51"/>
      <c r="H9" s="50"/>
      <c r="I9" s="51"/>
      <c r="J9" s="51"/>
      <c r="K9" s="51"/>
    </row>
    <row r="10" spans="1:16" x14ac:dyDescent="0.25">
      <c r="A10" t="s">
        <v>209</v>
      </c>
      <c r="B10" t="s">
        <v>161</v>
      </c>
      <c r="C10" s="51"/>
      <c r="D10" s="51"/>
      <c r="E10" s="51"/>
      <c r="F10" s="51"/>
      <c r="G10" s="51"/>
      <c r="H10" s="50"/>
      <c r="I10" s="51"/>
      <c r="J10" s="51"/>
      <c r="K10" s="51"/>
    </row>
    <row r="11" spans="1:16" x14ac:dyDescent="0.25">
      <c r="A11" t="s">
        <v>221</v>
      </c>
      <c r="B11" t="s">
        <v>161</v>
      </c>
      <c r="C11" s="51"/>
      <c r="D11" s="51"/>
      <c r="E11" s="51"/>
      <c r="F11" s="51"/>
      <c r="G11" s="51"/>
      <c r="H11" s="50"/>
      <c r="I11" s="51"/>
      <c r="J11" s="51"/>
      <c r="K11" s="51"/>
    </row>
    <row r="12" spans="1:16" x14ac:dyDescent="0.25">
      <c r="A12" t="s">
        <v>163</v>
      </c>
      <c r="B12" t="s">
        <v>161</v>
      </c>
      <c r="C12" s="51"/>
      <c r="D12" s="51"/>
      <c r="E12" s="51"/>
      <c r="F12" s="51"/>
      <c r="G12" s="51"/>
      <c r="H12" s="50"/>
      <c r="I12" s="51"/>
      <c r="J12" s="51"/>
      <c r="K12" s="51"/>
    </row>
    <row r="13" spans="1:16" x14ac:dyDescent="0.25">
      <c r="A13" t="s">
        <v>338</v>
      </c>
      <c r="B13" t="s">
        <v>339</v>
      </c>
      <c r="C13" s="51"/>
      <c r="D13" s="51"/>
      <c r="E13" s="51"/>
      <c r="F13" s="50"/>
      <c r="G13" s="51"/>
      <c r="H13" s="51"/>
      <c r="I13" s="51"/>
      <c r="J13" s="51"/>
      <c r="K13" s="51"/>
    </row>
  </sheetData>
  <mergeCells count="1">
    <mergeCell ref="L1:P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3" name="Button 2">
              <controlPr defaultSize="0" print="0" autoFill="0" autoPict="0" macro="[0]!UPD_create_overview">
                <anchor moveWithCells="1" sizeWithCells="1">
                  <from>
                    <xdr:col>11</xdr:col>
                    <xdr:colOff>390525</xdr:colOff>
                    <xdr:row>0</xdr:row>
                    <xdr:rowOff>57150</xdr:rowOff>
                  </from>
                  <to>
                    <xdr:col>15</xdr:col>
                    <xdr:colOff>581025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00AAAA"/>
  </sheetPr>
  <dimension ref="A1:F1000"/>
  <sheetViews>
    <sheetView tabSelected="1" workbookViewId="0">
      <selection activeCell="U9" activeCellId="1" sqref="T10 U9"/>
    </sheetView>
  </sheetViews>
  <sheetFormatPr baseColWidth="10" defaultRowHeight="15" x14ac:dyDescent="0.25"/>
  <cols>
    <col min="1" max="2" width="12.7109375" bestFit="1" customWidth="1"/>
  </cols>
  <sheetData>
    <row r="1" spans="1:6" x14ac:dyDescent="0.25">
      <c r="A1">
        <v>-0.52611118899999998</v>
      </c>
      <c r="B1">
        <v>0</v>
      </c>
      <c r="C1" t="s">
        <v>334</v>
      </c>
      <c r="D1" t="s">
        <v>335</v>
      </c>
      <c r="E1" t="s">
        <v>336</v>
      </c>
      <c r="F1" t="s">
        <v>337</v>
      </c>
    </row>
    <row r="2" spans="1:6" x14ac:dyDescent="0.25">
      <c r="A2">
        <v>-0.51611118899999997</v>
      </c>
      <c r="B2">
        <v>-1.2403659999999999E-3</v>
      </c>
      <c r="C2">
        <v>1.0000000000000009E-2</v>
      </c>
      <c r="D2">
        <v>0.14734360399999999</v>
      </c>
      <c r="E2">
        <v>0</v>
      </c>
      <c r="F2">
        <v>0</v>
      </c>
    </row>
    <row r="3" spans="1:6" x14ac:dyDescent="0.25">
      <c r="A3">
        <v>-0.50611118899999996</v>
      </c>
      <c r="B3">
        <v>3.2255209999999999E-3</v>
      </c>
      <c r="C3">
        <v>2.0000000000000018E-2</v>
      </c>
      <c r="D3">
        <v>0.88676573400000003</v>
      </c>
      <c r="E3">
        <v>1.0000000000000009E-2</v>
      </c>
      <c r="F3">
        <v>0.14734360399999999</v>
      </c>
    </row>
    <row r="4" spans="1:6" x14ac:dyDescent="0.25">
      <c r="A4">
        <v>-0.49611118900000001</v>
      </c>
      <c r="B4">
        <v>-8.6916800000000002E-4</v>
      </c>
      <c r="C4">
        <v>3.0000000000000027E-2</v>
      </c>
      <c r="D4">
        <v>1.8749151470000001</v>
      </c>
      <c r="E4">
        <v>2.0000000000000018E-2</v>
      </c>
      <c r="F4">
        <v>0.88676573400000003</v>
      </c>
    </row>
    <row r="5" spans="1:6" x14ac:dyDescent="0.25">
      <c r="A5">
        <v>-0.486111189</v>
      </c>
      <c r="B5">
        <v>-2.977389E-3</v>
      </c>
      <c r="C5">
        <v>4.0000000000000036E-2</v>
      </c>
      <c r="D5">
        <v>2.995953262</v>
      </c>
      <c r="E5">
        <v>3.0000000000000027E-2</v>
      </c>
      <c r="F5">
        <v>1.8749151470000001</v>
      </c>
    </row>
    <row r="6" spans="1:6" x14ac:dyDescent="0.25">
      <c r="A6">
        <v>-0.47611118899999999</v>
      </c>
      <c r="B6">
        <v>3.5979190000000002E-3</v>
      </c>
      <c r="C6">
        <v>5.0000000000000044E-2</v>
      </c>
      <c r="D6">
        <v>4.2047959559999999</v>
      </c>
      <c r="E6">
        <v>4.0000000000000036E-2</v>
      </c>
      <c r="F6">
        <v>2.995953262</v>
      </c>
    </row>
    <row r="7" spans="1:6" x14ac:dyDescent="0.25">
      <c r="A7">
        <v>-0.46611118899999998</v>
      </c>
      <c r="B7">
        <v>5.3327799999999996E-3</v>
      </c>
      <c r="C7">
        <v>6.0000000000000053E-2</v>
      </c>
      <c r="D7">
        <v>5.421401693</v>
      </c>
      <c r="E7">
        <v>5.0000000000000044E-2</v>
      </c>
      <c r="F7">
        <v>4.2047959559999999</v>
      </c>
    </row>
    <row r="8" spans="1:6" x14ac:dyDescent="0.25">
      <c r="A8">
        <v>-0.45611118899999997</v>
      </c>
      <c r="B8">
        <v>2.7255719999999999E-3</v>
      </c>
      <c r="C8">
        <v>7.0000000000000062E-2</v>
      </c>
      <c r="D8">
        <v>6.8303359349999999</v>
      </c>
      <c r="E8">
        <v>6.0000000000000053E-2</v>
      </c>
      <c r="F8">
        <v>5.421401693</v>
      </c>
    </row>
    <row r="9" spans="1:6" x14ac:dyDescent="0.25">
      <c r="A9">
        <v>-0.44611118900000002</v>
      </c>
      <c r="B9">
        <v>-2.3611639999999998E-3</v>
      </c>
      <c r="C9">
        <v>8.0000000000000071E-2</v>
      </c>
      <c r="D9">
        <v>8.2082471189999993</v>
      </c>
      <c r="E9">
        <v>7.0000000000000062E-2</v>
      </c>
      <c r="F9">
        <v>6.8303359349999999</v>
      </c>
    </row>
    <row r="10" spans="1:6" x14ac:dyDescent="0.25">
      <c r="A10">
        <v>-0.43611118900000001</v>
      </c>
      <c r="B10">
        <v>5.4542460000000003E-3</v>
      </c>
      <c r="C10">
        <v>9.000000000000008E-2</v>
      </c>
      <c r="D10">
        <v>9.3477630640000005</v>
      </c>
      <c r="E10">
        <v>8.0000000000000071E-2</v>
      </c>
      <c r="F10">
        <v>8.2082471189999993</v>
      </c>
    </row>
    <row r="11" spans="1:6" x14ac:dyDescent="0.25">
      <c r="A11">
        <v>-0.426111189</v>
      </c>
      <c r="B11">
        <v>2.7229569999999998E-3</v>
      </c>
      <c r="C11">
        <v>0.10000000000000009</v>
      </c>
      <c r="D11">
        <v>10.17308534</v>
      </c>
      <c r="E11">
        <v>9.000000000000008E-2</v>
      </c>
      <c r="F11">
        <v>9.3477630640000005</v>
      </c>
    </row>
    <row r="12" spans="1:6" x14ac:dyDescent="0.25">
      <c r="A12">
        <v>-0.41611118899999999</v>
      </c>
      <c r="B12">
        <v>-3.6041329999999998E-3</v>
      </c>
      <c r="C12">
        <v>0.1100000000000001</v>
      </c>
      <c r="D12">
        <v>10.8503212</v>
      </c>
      <c r="E12">
        <v>0.10000000000000009</v>
      </c>
      <c r="F12">
        <v>10.17308534</v>
      </c>
    </row>
    <row r="13" spans="1:6" x14ac:dyDescent="0.25">
      <c r="A13">
        <v>-0.40611118899999998</v>
      </c>
      <c r="B13">
        <v>5.4522260000000001E-3</v>
      </c>
      <c r="C13">
        <v>0.12000000000000011</v>
      </c>
      <c r="D13">
        <v>11.43002302</v>
      </c>
      <c r="E13">
        <v>0.1100000000000001</v>
      </c>
      <c r="F13">
        <v>10.8503212</v>
      </c>
    </row>
    <row r="14" spans="1:6" x14ac:dyDescent="0.25">
      <c r="A14">
        <v>-0.39611118899999997</v>
      </c>
      <c r="B14">
        <v>9.8443300000000005E-4</v>
      </c>
      <c r="C14">
        <v>0.13000000000000012</v>
      </c>
      <c r="D14">
        <v>11.93084228</v>
      </c>
      <c r="E14">
        <v>0.12000000000000011</v>
      </c>
      <c r="F14">
        <v>11.43002302</v>
      </c>
    </row>
    <row r="15" spans="1:6" x14ac:dyDescent="0.25">
      <c r="A15">
        <v>-0.38611118900000002</v>
      </c>
      <c r="B15">
        <v>-4.5976309999999996E-3</v>
      </c>
      <c r="C15">
        <v>0.14000000000000012</v>
      </c>
      <c r="D15">
        <v>12.477473059999999</v>
      </c>
      <c r="E15">
        <v>0.13000000000000012</v>
      </c>
      <c r="F15">
        <v>11.93084228</v>
      </c>
    </row>
    <row r="16" spans="1:6" x14ac:dyDescent="0.25">
      <c r="A16">
        <v>-0.37611118900000001</v>
      </c>
      <c r="B16">
        <v>-7.8204399999999997E-3</v>
      </c>
      <c r="C16">
        <v>0.15000000000000013</v>
      </c>
      <c r="D16">
        <v>13.067786679999999</v>
      </c>
      <c r="E16">
        <v>0.14000000000000012</v>
      </c>
      <c r="F16">
        <v>12.477473059999999</v>
      </c>
    </row>
    <row r="17" spans="1:6" x14ac:dyDescent="0.25">
      <c r="A17">
        <v>-0.366111189</v>
      </c>
      <c r="B17">
        <v>1.21515E-4</v>
      </c>
      <c r="C17">
        <v>0.16000000000000014</v>
      </c>
      <c r="D17">
        <v>13.637513179999999</v>
      </c>
      <c r="E17">
        <v>0.15000000000000013</v>
      </c>
      <c r="F17">
        <v>13.067786679999999</v>
      </c>
    </row>
    <row r="18" spans="1:6" x14ac:dyDescent="0.25">
      <c r="A18">
        <v>-0.35611118899999999</v>
      </c>
      <c r="B18">
        <v>9.4242200000000005E-3</v>
      </c>
      <c r="C18">
        <v>0.17000000000000015</v>
      </c>
      <c r="D18">
        <v>14.160739449999999</v>
      </c>
      <c r="E18">
        <v>0.16000000000000014</v>
      </c>
      <c r="F18">
        <v>13.637513179999999</v>
      </c>
    </row>
    <row r="19" spans="1:6" x14ac:dyDescent="0.25">
      <c r="A19">
        <v>-0.34611118899999999</v>
      </c>
      <c r="B19">
        <v>-3.6039330000000001E-3</v>
      </c>
      <c r="C19">
        <v>0.18000000000000016</v>
      </c>
      <c r="D19">
        <v>14.704591669999999</v>
      </c>
      <c r="E19">
        <v>0.17000000000000015</v>
      </c>
      <c r="F19">
        <v>14.160739449999999</v>
      </c>
    </row>
    <row r="20" spans="1:6" x14ac:dyDescent="0.25">
      <c r="A20">
        <v>-0.33611118899999998</v>
      </c>
      <c r="B20">
        <v>-3.2301410000000002E-3</v>
      </c>
      <c r="C20">
        <v>0.19000000000000017</v>
      </c>
      <c r="D20">
        <v>15.20096526</v>
      </c>
      <c r="E20">
        <v>0.18000000000000016</v>
      </c>
      <c r="F20">
        <v>14.704591669999999</v>
      </c>
    </row>
    <row r="21" spans="1:6" x14ac:dyDescent="0.25">
      <c r="A21">
        <v>-0.32611118900000002</v>
      </c>
      <c r="B21">
        <v>1.1126440000000001E-3</v>
      </c>
      <c r="C21">
        <v>0.20000000000000018</v>
      </c>
      <c r="D21">
        <v>15.659061660000001</v>
      </c>
      <c r="E21">
        <v>0.19000000000000017</v>
      </c>
      <c r="F21">
        <v>15.20096526</v>
      </c>
    </row>
    <row r="22" spans="1:6" x14ac:dyDescent="0.25">
      <c r="A22">
        <v>-0.31611118900000001</v>
      </c>
      <c r="B22">
        <v>-8.7243499999999996E-4</v>
      </c>
      <c r="C22">
        <v>0.21000000000000019</v>
      </c>
      <c r="D22">
        <v>16.14153782</v>
      </c>
      <c r="E22">
        <v>0.20000000000000018</v>
      </c>
      <c r="F22">
        <v>15.659061660000001</v>
      </c>
    </row>
    <row r="23" spans="1:6" x14ac:dyDescent="0.25">
      <c r="A23">
        <v>-0.30611118900000001</v>
      </c>
      <c r="B23">
        <v>9.8853299999999999E-4</v>
      </c>
      <c r="C23">
        <v>0.2200000000000002</v>
      </c>
      <c r="D23">
        <v>16.639204679999999</v>
      </c>
      <c r="E23">
        <v>0.21000000000000019</v>
      </c>
      <c r="F23">
        <v>16.14153782</v>
      </c>
    </row>
    <row r="24" spans="1:6" x14ac:dyDescent="0.25">
      <c r="A24">
        <v>-0.296111189</v>
      </c>
      <c r="B24">
        <v>-1.120525E-3</v>
      </c>
      <c r="C24">
        <v>0.2300000000000002</v>
      </c>
      <c r="D24">
        <v>17.092890659999998</v>
      </c>
      <c r="E24">
        <v>0.2200000000000002</v>
      </c>
      <c r="F24">
        <v>16.639204679999999</v>
      </c>
    </row>
    <row r="25" spans="1:6" x14ac:dyDescent="0.25">
      <c r="A25">
        <v>-0.28611118899999999</v>
      </c>
      <c r="B25">
        <v>7.4385359999999999E-3</v>
      </c>
      <c r="C25">
        <v>0.24000000000000021</v>
      </c>
      <c r="D25">
        <v>17.583612729999999</v>
      </c>
      <c r="E25">
        <v>0.2300000000000002</v>
      </c>
      <c r="F25">
        <v>17.092890659999998</v>
      </c>
    </row>
    <row r="26" spans="1:6" x14ac:dyDescent="0.25">
      <c r="A26">
        <v>-0.27611118899999998</v>
      </c>
      <c r="B26">
        <v>5.3265220000000002E-3</v>
      </c>
      <c r="C26">
        <v>0.25000000000000022</v>
      </c>
      <c r="D26">
        <v>18.096346279999999</v>
      </c>
      <c r="E26">
        <v>0.24000000000000021</v>
      </c>
      <c r="F26">
        <v>17.583612729999999</v>
      </c>
    </row>
    <row r="27" spans="1:6" x14ac:dyDescent="0.25">
      <c r="A27">
        <v>-0.26611118900000003</v>
      </c>
      <c r="B27">
        <v>9.8283200000000011E-4</v>
      </c>
      <c r="C27">
        <v>0.26000000000000023</v>
      </c>
      <c r="D27">
        <v>18.5159761</v>
      </c>
      <c r="E27">
        <v>0.25000000000000022</v>
      </c>
      <c r="F27">
        <v>18.096346279999999</v>
      </c>
    </row>
    <row r="28" spans="1:6" x14ac:dyDescent="0.25">
      <c r="A28">
        <v>-0.25611118900000002</v>
      </c>
      <c r="B28">
        <v>4.8627799999999998E-4</v>
      </c>
      <c r="C28">
        <v>0.27000000000000024</v>
      </c>
      <c r="D28">
        <v>18.868469399999999</v>
      </c>
      <c r="E28">
        <v>0.26000000000000023</v>
      </c>
      <c r="F28">
        <v>18.5159761</v>
      </c>
    </row>
    <row r="29" spans="1:6" x14ac:dyDescent="0.25">
      <c r="A29">
        <v>-0.24611118900000001</v>
      </c>
      <c r="B29">
        <v>-2.2427060000000001E-3</v>
      </c>
      <c r="C29">
        <v>0.28000000000000025</v>
      </c>
      <c r="D29">
        <v>19.24800145</v>
      </c>
      <c r="E29">
        <v>0.27000000000000024</v>
      </c>
      <c r="F29">
        <v>18.868469399999999</v>
      </c>
    </row>
    <row r="30" spans="1:6" x14ac:dyDescent="0.25">
      <c r="A30">
        <v>-0.236111189</v>
      </c>
      <c r="B30">
        <v>6.1121000000000005E-4</v>
      </c>
      <c r="C30">
        <v>0.29000000000000026</v>
      </c>
      <c r="D30">
        <v>19.613008180000001</v>
      </c>
      <c r="E30">
        <v>0.28000000000000025</v>
      </c>
      <c r="F30">
        <v>19.24800145</v>
      </c>
    </row>
    <row r="31" spans="1:6" x14ac:dyDescent="0.25">
      <c r="A31">
        <v>-0.22611118899999999</v>
      </c>
      <c r="B31" s="186">
        <v>-9.2099999999999999E-6</v>
      </c>
      <c r="C31">
        <v>0.30000000000000027</v>
      </c>
      <c r="D31">
        <v>19.938813549999999</v>
      </c>
      <c r="E31">
        <v>0.29000000000000026</v>
      </c>
      <c r="F31">
        <v>19.613008180000001</v>
      </c>
    </row>
    <row r="32" spans="1:6" x14ac:dyDescent="0.25">
      <c r="A32">
        <v>-0.21611118900000001</v>
      </c>
      <c r="B32">
        <v>1.727347E-3</v>
      </c>
      <c r="C32">
        <v>0.31000000000000028</v>
      </c>
      <c r="D32">
        <v>20.28534582</v>
      </c>
      <c r="E32">
        <v>0.30000000000000027</v>
      </c>
      <c r="F32">
        <v>19.938813549999999</v>
      </c>
    </row>
    <row r="33" spans="1:6" x14ac:dyDescent="0.25">
      <c r="A33">
        <v>-0.206111189</v>
      </c>
      <c r="B33">
        <v>2.8429269999999999E-3</v>
      </c>
      <c r="C33">
        <v>0.32000000000000028</v>
      </c>
      <c r="D33">
        <v>20.620718589999999</v>
      </c>
      <c r="E33">
        <v>0.31000000000000028</v>
      </c>
      <c r="F33">
        <v>20.28534582</v>
      </c>
    </row>
    <row r="34" spans="1:6" x14ac:dyDescent="0.25">
      <c r="A34">
        <v>-0.19611118899999999</v>
      </c>
      <c r="B34">
        <v>-2.6159429999999999E-3</v>
      </c>
      <c r="C34">
        <v>0.33000000000000029</v>
      </c>
      <c r="D34">
        <v>20.884779730000002</v>
      </c>
      <c r="E34">
        <v>0.32000000000000028</v>
      </c>
      <c r="F34">
        <v>20.620718589999999</v>
      </c>
    </row>
    <row r="35" spans="1:6" x14ac:dyDescent="0.25">
      <c r="A35">
        <v>-0.18611118900000001</v>
      </c>
      <c r="B35">
        <v>-4.4752430000000003E-3</v>
      </c>
      <c r="C35">
        <v>0.3400000000000003</v>
      </c>
      <c r="D35">
        <v>21.075205740000001</v>
      </c>
      <c r="E35">
        <v>0.33000000000000029</v>
      </c>
      <c r="F35">
        <v>20.884779730000002</v>
      </c>
    </row>
    <row r="36" spans="1:6" x14ac:dyDescent="0.25">
      <c r="A36">
        <v>-0.176111189</v>
      </c>
      <c r="B36">
        <v>3.341161E-3</v>
      </c>
      <c r="C36">
        <v>0.35000000000000031</v>
      </c>
      <c r="D36">
        <v>21.237676189999998</v>
      </c>
      <c r="E36">
        <v>0.3400000000000003</v>
      </c>
      <c r="F36">
        <v>21.075205740000001</v>
      </c>
    </row>
    <row r="37" spans="1:6" x14ac:dyDescent="0.25">
      <c r="A37">
        <v>-0.16611118899999999</v>
      </c>
      <c r="B37">
        <v>-2.1179469999999998E-3</v>
      </c>
      <c r="C37">
        <v>0.36000000000000032</v>
      </c>
      <c r="D37">
        <v>21.352482290000001</v>
      </c>
      <c r="E37">
        <v>0.35000000000000031</v>
      </c>
      <c r="F37">
        <v>21.237676189999998</v>
      </c>
    </row>
    <row r="38" spans="1:6" x14ac:dyDescent="0.25">
      <c r="A38">
        <v>-0.15611118900000001</v>
      </c>
      <c r="B38">
        <v>-1.248678E-3</v>
      </c>
      <c r="C38">
        <v>0.37000000000000033</v>
      </c>
      <c r="D38">
        <v>21.440360139999999</v>
      </c>
      <c r="E38">
        <v>0.36000000000000032</v>
      </c>
      <c r="F38">
        <v>21.352482290000001</v>
      </c>
    </row>
    <row r="39" spans="1:6" x14ac:dyDescent="0.25">
      <c r="A39">
        <v>-0.146111189</v>
      </c>
      <c r="B39">
        <v>1.9768849999999998E-3</v>
      </c>
      <c r="C39">
        <v>0.38000000000000034</v>
      </c>
      <c r="D39">
        <v>21.523028549999999</v>
      </c>
      <c r="E39">
        <v>0.37000000000000033</v>
      </c>
      <c r="F39">
        <v>21.440360139999999</v>
      </c>
    </row>
    <row r="40" spans="1:6" x14ac:dyDescent="0.25">
      <c r="A40">
        <v>-0.13611118899999999</v>
      </c>
      <c r="B40">
        <v>7.3564799999999999E-4</v>
      </c>
      <c r="C40">
        <v>0.39000000000000035</v>
      </c>
      <c r="D40">
        <v>21.619095389999998</v>
      </c>
      <c r="E40">
        <v>0.38000000000000034</v>
      </c>
      <c r="F40">
        <v>21.523028549999999</v>
      </c>
    </row>
    <row r="41" spans="1:6" x14ac:dyDescent="0.25">
      <c r="A41">
        <v>-0.12611118900000001</v>
      </c>
      <c r="B41">
        <v>-2.1174929999999998E-3</v>
      </c>
      <c r="C41">
        <v>0.40000000000000036</v>
      </c>
      <c r="D41">
        <v>21.713422049999998</v>
      </c>
      <c r="E41">
        <v>0.39000000000000035</v>
      </c>
      <c r="F41">
        <v>21.619095389999998</v>
      </c>
    </row>
    <row r="42" spans="1:6" x14ac:dyDescent="0.25">
      <c r="A42">
        <v>-0.116111189</v>
      </c>
      <c r="B42">
        <v>-3.852996E-3</v>
      </c>
      <c r="C42">
        <v>0.41000000000000036</v>
      </c>
      <c r="D42">
        <v>21.775124219999999</v>
      </c>
      <c r="E42">
        <v>0.40000000000000036</v>
      </c>
      <c r="F42">
        <v>21.713422049999998</v>
      </c>
    </row>
    <row r="43" spans="1:6" x14ac:dyDescent="0.25">
      <c r="A43">
        <v>-0.10611118899999999</v>
      </c>
      <c r="B43">
        <v>-2.5413200000000001E-4</v>
      </c>
      <c r="C43">
        <v>0.42000000000000037</v>
      </c>
      <c r="D43">
        <v>21.82827996</v>
      </c>
      <c r="E43">
        <v>0.41000000000000036</v>
      </c>
      <c r="F43">
        <v>21.775124219999999</v>
      </c>
    </row>
    <row r="44" spans="1:6" x14ac:dyDescent="0.25">
      <c r="A44">
        <v>-9.6111189E-2</v>
      </c>
      <c r="B44">
        <v>-6.0837110000000003E-3</v>
      </c>
      <c r="C44">
        <v>0.43000000000000038</v>
      </c>
      <c r="D44">
        <v>21.82823994</v>
      </c>
      <c r="E44">
        <v>0.42000000000000037</v>
      </c>
      <c r="F44">
        <v>21.82827996</v>
      </c>
    </row>
    <row r="45" spans="1:6" x14ac:dyDescent="0.25">
      <c r="A45">
        <v>-8.6111189000000005E-2</v>
      </c>
      <c r="B45">
        <v>-1.4915410000000001E-3</v>
      </c>
      <c r="C45">
        <v>0.44000000000000039</v>
      </c>
      <c r="D45">
        <v>21.792269539999999</v>
      </c>
      <c r="E45">
        <v>0.43000000000000038</v>
      </c>
      <c r="F45">
        <v>21.82823994</v>
      </c>
    </row>
    <row r="46" spans="1:6" x14ac:dyDescent="0.25">
      <c r="A46">
        <v>-7.6111188999999996E-2</v>
      </c>
      <c r="B46">
        <v>4.9374200000000003E-4</v>
      </c>
      <c r="C46">
        <v>0.4500000000000004</v>
      </c>
      <c r="D46">
        <v>21.83201803</v>
      </c>
      <c r="E46">
        <v>0.44000000000000039</v>
      </c>
      <c r="F46">
        <v>21.792269539999999</v>
      </c>
    </row>
    <row r="47" spans="1:6" x14ac:dyDescent="0.25">
      <c r="A47">
        <v>-6.6111189000000001E-2</v>
      </c>
      <c r="B47">
        <v>-8.7087600000000003E-4</v>
      </c>
      <c r="C47">
        <v>0.46000000000000041</v>
      </c>
      <c r="D47">
        <v>21.862981510000001</v>
      </c>
      <c r="E47">
        <v>0.4500000000000004</v>
      </c>
      <c r="F47">
        <v>21.83201803</v>
      </c>
    </row>
    <row r="48" spans="1:6" x14ac:dyDescent="0.25">
      <c r="A48">
        <v>-5.6111188999999999E-2</v>
      </c>
      <c r="B48">
        <v>7.5640270000000001E-3</v>
      </c>
      <c r="C48">
        <v>0.47000000000000042</v>
      </c>
      <c r="D48">
        <v>21.83815401</v>
      </c>
      <c r="E48">
        <v>0.46000000000000041</v>
      </c>
      <c r="F48">
        <v>21.862981510000001</v>
      </c>
    </row>
    <row r="49" spans="1:6" x14ac:dyDescent="0.25">
      <c r="A49">
        <v>-4.6111188999999997E-2</v>
      </c>
      <c r="B49">
        <v>-2.9825429999999998E-3</v>
      </c>
      <c r="C49">
        <v>0.48000000000000043</v>
      </c>
      <c r="D49">
        <v>21.845751029999999</v>
      </c>
      <c r="E49">
        <v>0.47000000000000042</v>
      </c>
      <c r="F49">
        <v>21.83815401</v>
      </c>
    </row>
    <row r="50" spans="1:6" x14ac:dyDescent="0.25">
      <c r="A50">
        <v>-3.6111189000000002E-2</v>
      </c>
      <c r="B50">
        <v>2.8485709999999998E-3</v>
      </c>
      <c r="C50">
        <v>0.49000000000000044</v>
      </c>
      <c r="D50">
        <v>21.829692919999999</v>
      </c>
      <c r="E50">
        <v>0.48000000000000043</v>
      </c>
      <c r="F50">
        <v>21.845751029999999</v>
      </c>
    </row>
    <row r="51" spans="1:6" x14ac:dyDescent="0.25">
      <c r="A51">
        <v>-2.6111189E-2</v>
      </c>
      <c r="B51">
        <v>3.715543E-3</v>
      </c>
      <c r="C51">
        <v>0.50000000000000044</v>
      </c>
      <c r="D51">
        <v>21.767663760000001</v>
      </c>
      <c r="E51">
        <v>0.49000000000000044</v>
      </c>
      <c r="F51">
        <v>21.829692919999999</v>
      </c>
    </row>
    <row r="52" spans="1:6" x14ac:dyDescent="0.25">
      <c r="A52">
        <v>-1.6111189000000001E-2</v>
      </c>
      <c r="B52">
        <v>1.16803E-4</v>
      </c>
      <c r="C52">
        <v>0.51000000000000045</v>
      </c>
      <c r="D52">
        <v>21.792775710000001</v>
      </c>
      <c r="E52">
        <v>0.50000000000000044</v>
      </c>
      <c r="F52">
        <v>21.767663760000001</v>
      </c>
    </row>
    <row r="53" spans="1:6" x14ac:dyDescent="0.25">
      <c r="A53">
        <v>-6.1111890000000004E-3</v>
      </c>
      <c r="B53">
        <v>6.1292900000000001E-4</v>
      </c>
      <c r="C53">
        <v>0.52000000000000046</v>
      </c>
      <c r="D53">
        <v>21.863932420000001</v>
      </c>
      <c r="E53">
        <v>0.51000000000000045</v>
      </c>
      <c r="F53">
        <v>21.792775710000001</v>
      </c>
    </row>
    <row r="54" spans="1:6" x14ac:dyDescent="0.25">
      <c r="A54">
        <v>3.8888109999999998E-3</v>
      </c>
      <c r="B54">
        <v>-3.232455E-3</v>
      </c>
      <c r="C54">
        <v>0.53000000000000047</v>
      </c>
      <c r="D54">
        <v>21.920086659999999</v>
      </c>
      <c r="E54">
        <v>0.52000000000000046</v>
      </c>
      <c r="F54">
        <v>21.863932420000001</v>
      </c>
    </row>
    <row r="55" spans="1:6" x14ac:dyDescent="0.25">
      <c r="A55">
        <v>1.3888810999999999E-2</v>
      </c>
      <c r="B55">
        <v>2.42086E-4</v>
      </c>
      <c r="C55">
        <v>0.54000000000000048</v>
      </c>
      <c r="D55">
        <v>21.959880850000001</v>
      </c>
      <c r="E55">
        <v>0.53000000000000047</v>
      </c>
      <c r="F55">
        <v>21.920086659999999</v>
      </c>
    </row>
    <row r="56" spans="1:6" x14ac:dyDescent="0.25">
      <c r="A56">
        <v>2.3888810999999999E-2</v>
      </c>
      <c r="B56" s="186">
        <v>-6.0700000000000003E-6</v>
      </c>
      <c r="C56">
        <v>0.55000000000000049</v>
      </c>
      <c r="D56">
        <v>21.908528329999999</v>
      </c>
      <c r="E56">
        <v>0.54000000000000048</v>
      </c>
      <c r="F56">
        <v>21.959880850000001</v>
      </c>
    </row>
    <row r="57" spans="1:6" x14ac:dyDescent="0.25">
      <c r="A57">
        <v>3.3888810999999998E-2</v>
      </c>
      <c r="B57">
        <v>-1.990627E-3</v>
      </c>
      <c r="C57">
        <v>0.5600000000000005</v>
      </c>
      <c r="D57">
        <v>21.762101600000001</v>
      </c>
      <c r="E57">
        <v>0.55000000000000049</v>
      </c>
      <c r="F57">
        <v>21.908528329999999</v>
      </c>
    </row>
    <row r="58" spans="1:6" x14ac:dyDescent="0.25">
      <c r="A58">
        <v>4.3888811E-2</v>
      </c>
      <c r="B58">
        <v>3.219852E-3</v>
      </c>
      <c r="C58">
        <v>0.57000000000000051</v>
      </c>
      <c r="D58">
        <v>21.64071139</v>
      </c>
      <c r="E58">
        <v>0.5600000000000005</v>
      </c>
      <c r="F58">
        <v>21.762101600000001</v>
      </c>
    </row>
    <row r="59" spans="1:6" x14ac:dyDescent="0.25">
      <c r="A59">
        <v>5.3888811000000002E-2</v>
      </c>
      <c r="B59">
        <v>-2.6113220000000001E-3</v>
      </c>
      <c r="C59">
        <v>0.58000000000000052</v>
      </c>
      <c r="D59">
        <v>21.54645438</v>
      </c>
      <c r="E59">
        <v>0.57000000000000051</v>
      </c>
      <c r="F59">
        <v>21.64071139</v>
      </c>
    </row>
    <row r="60" spans="1:6" x14ac:dyDescent="0.25">
      <c r="A60">
        <v>6.3888811000000004E-2</v>
      </c>
      <c r="B60">
        <v>1.23504E-3</v>
      </c>
      <c r="C60">
        <v>0.59000000000000052</v>
      </c>
      <c r="D60">
        <v>21.381948950000002</v>
      </c>
      <c r="E60">
        <v>0.58000000000000052</v>
      </c>
      <c r="F60">
        <v>21.54645438</v>
      </c>
    </row>
    <row r="61" spans="1:6" x14ac:dyDescent="0.25">
      <c r="A61">
        <v>7.3888810999999999E-2</v>
      </c>
      <c r="B61">
        <v>-1.3702709999999999E-3</v>
      </c>
      <c r="C61">
        <v>0.60000000000000053</v>
      </c>
      <c r="D61">
        <v>21.046013009999999</v>
      </c>
      <c r="E61">
        <v>0.59000000000000052</v>
      </c>
      <c r="F61">
        <v>21.381948950000002</v>
      </c>
    </row>
    <row r="62" spans="1:6" x14ac:dyDescent="0.25">
      <c r="A62">
        <v>8.3888810999999994E-2</v>
      </c>
      <c r="B62">
        <v>2.847629E-3</v>
      </c>
      <c r="C62">
        <v>0.61000000000000054</v>
      </c>
      <c r="D62">
        <v>20.49084642</v>
      </c>
      <c r="E62">
        <v>0.60000000000000053</v>
      </c>
      <c r="F62">
        <v>21.046013009999999</v>
      </c>
    </row>
    <row r="63" spans="1:6" x14ac:dyDescent="0.25">
      <c r="A63">
        <v>9.3888811000000003E-2</v>
      </c>
      <c r="B63">
        <v>1.0412584000000001E-2</v>
      </c>
      <c r="C63">
        <v>0.62000000000000055</v>
      </c>
      <c r="D63">
        <v>19.709230569999999</v>
      </c>
      <c r="E63">
        <v>0.61000000000000054</v>
      </c>
      <c r="F63">
        <v>20.49084642</v>
      </c>
    </row>
    <row r="64" spans="1:6" x14ac:dyDescent="0.25">
      <c r="A64">
        <v>0.103888811</v>
      </c>
      <c r="B64">
        <v>1.350876E-2</v>
      </c>
      <c r="C64">
        <v>0.63000000000000056</v>
      </c>
      <c r="D64">
        <v>18.813272959999999</v>
      </c>
      <c r="E64">
        <v>0.62000000000000055</v>
      </c>
      <c r="F64">
        <v>19.709230569999999</v>
      </c>
    </row>
    <row r="65" spans="1:6" x14ac:dyDescent="0.25">
      <c r="A65">
        <v>0.11388881100000001</v>
      </c>
      <c r="B65">
        <v>1.4494917E-2</v>
      </c>
      <c r="C65">
        <v>0.64000000000000057</v>
      </c>
      <c r="D65">
        <v>17.77648035</v>
      </c>
      <c r="E65">
        <v>0.63000000000000056</v>
      </c>
      <c r="F65">
        <v>18.813272959999999</v>
      </c>
    </row>
    <row r="66" spans="1:6" x14ac:dyDescent="0.25">
      <c r="A66">
        <v>0.123888811</v>
      </c>
      <c r="B66">
        <v>1.8457529E-2</v>
      </c>
      <c r="C66">
        <v>0.65000000000000058</v>
      </c>
      <c r="D66">
        <v>16.52040002</v>
      </c>
      <c r="E66">
        <v>0.64000000000000057</v>
      </c>
      <c r="F66">
        <v>17.77648035</v>
      </c>
    </row>
    <row r="67" spans="1:6" x14ac:dyDescent="0.25">
      <c r="A67">
        <v>0.133888811</v>
      </c>
      <c r="B67">
        <v>1.6836706999999999E-2</v>
      </c>
      <c r="C67">
        <v>0.66000000000000059</v>
      </c>
      <c r="D67">
        <v>14.90037935</v>
      </c>
      <c r="E67">
        <v>0.65000000000000058</v>
      </c>
      <c r="F67">
        <v>16.52040002</v>
      </c>
    </row>
    <row r="68" spans="1:6" x14ac:dyDescent="0.25">
      <c r="A68">
        <v>0.14388881100000001</v>
      </c>
      <c r="B68">
        <v>1.9930058E-2</v>
      </c>
      <c r="C68">
        <v>0.6700000000000006</v>
      </c>
      <c r="D68">
        <v>12.81673281</v>
      </c>
      <c r="E68">
        <v>0.66000000000000059</v>
      </c>
      <c r="F68">
        <v>14.90037935</v>
      </c>
    </row>
    <row r="69" spans="1:6" x14ac:dyDescent="0.25">
      <c r="A69">
        <v>0.15388881099999999</v>
      </c>
      <c r="B69">
        <v>1.9673037000000001E-2</v>
      </c>
      <c r="C69">
        <v>0.6800000000000006</v>
      </c>
      <c r="D69">
        <v>10.372247570000001</v>
      </c>
      <c r="E69">
        <v>0.6700000000000006</v>
      </c>
      <c r="F69">
        <v>12.81673281</v>
      </c>
    </row>
    <row r="70" spans="1:6" x14ac:dyDescent="0.25">
      <c r="A70">
        <v>0.163888811</v>
      </c>
      <c r="B70">
        <v>1.4308610000000001E-3</v>
      </c>
      <c r="C70">
        <v>0.69000000000000061</v>
      </c>
      <c r="D70">
        <v>7.8596869119999999</v>
      </c>
      <c r="E70">
        <v>0.6800000000000006</v>
      </c>
      <c r="F70">
        <v>10.372247570000001</v>
      </c>
    </row>
    <row r="71" spans="1:6" x14ac:dyDescent="0.25">
      <c r="A71">
        <v>0.173888811</v>
      </c>
      <c r="B71">
        <v>-7.1503080999999996E-2</v>
      </c>
      <c r="C71">
        <v>0.70000000000000062</v>
      </c>
      <c r="D71">
        <v>5.7155618190000004</v>
      </c>
      <c r="E71">
        <v>0.69000000000000061</v>
      </c>
      <c r="F71">
        <v>7.8596869119999999</v>
      </c>
    </row>
    <row r="72" spans="1:6" x14ac:dyDescent="0.25">
      <c r="A72">
        <v>0.18388881100000001</v>
      </c>
      <c r="B72">
        <v>-0.16226489099999999</v>
      </c>
      <c r="C72">
        <v>0.71000000000000063</v>
      </c>
      <c r="D72">
        <v>4.3191263400000004</v>
      </c>
      <c r="E72">
        <v>0.70000000000000062</v>
      </c>
      <c r="F72">
        <v>5.421401693</v>
      </c>
    </row>
    <row r="73" spans="1:6" x14ac:dyDescent="0.25">
      <c r="A73">
        <v>0.19388881099999999</v>
      </c>
      <c r="B73">
        <v>-0.24318638400000001</v>
      </c>
      <c r="C73">
        <v>0.72000000000000064</v>
      </c>
      <c r="D73">
        <v>3.4943976110000001</v>
      </c>
      <c r="E73">
        <v>0.71000000000000063</v>
      </c>
      <c r="F73">
        <v>4.2047959559999999</v>
      </c>
    </row>
    <row r="74" spans="1:6" x14ac:dyDescent="0.25">
      <c r="A74">
        <v>0.203888811</v>
      </c>
      <c r="B74">
        <v>-0.30224069999999997</v>
      </c>
      <c r="C74">
        <v>0.73000000000000065</v>
      </c>
      <c r="D74">
        <v>2.8543645789999998</v>
      </c>
      <c r="E74">
        <v>0.72000000000000064</v>
      </c>
      <c r="F74">
        <v>2.995953262</v>
      </c>
    </row>
    <row r="75" spans="1:6" x14ac:dyDescent="0.25">
      <c r="A75">
        <v>0.21388881100000001</v>
      </c>
      <c r="B75">
        <v>-0.38719213000000002</v>
      </c>
      <c r="C75">
        <v>0.74000000000000066</v>
      </c>
      <c r="D75">
        <v>2.4096080799999999</v>
      </c>
      <c r="E75">
        <v>0.73000000000000065</v>
      </c>
      <c r="F75">
        <v>1.8749151470000001</v>
      </c>
    </row>
    <row r="76" spans="1:6" x14ac:dyDescent="0.25">
      <c r="A76">
        <v>0.22388881099999999</v>
      </c>
      <c r="B76">
        <v>-0.47830710900000001</v>
      </c>
      <c r="C76">
        <v>0.75000000000000067</v>
      </c>
      <c r="D76">
        <v>2.0869797619999999</v>
      </c>
      <c r="E76">
        <v>0.74000000000000066</v>
      </c>
      <c r="F76">
        <v>0.88676573400000003</v>
      </c>
    </row>
    <row r="77" spans="1:6" x14ac:dyDescent="0.25">
      <c r="A77">
        <v>0.233888811</v>
      </c>
      <c r="B77">
        <v>-0.51505310100000001</v>
      </c>
      <c r="C77">
        <v>0.76000000000000068</v>
      </c>
      <c r="D77">
        <v>1.7259193530000001</v>
      </c>
      <c r="E77">
        <v>0.75000000000000067</v>
      </c>
      <c r="F77">
        <v>0.14734360399999999</v>
      </c>
    </row>
    <row r="78" spans="1:6" x14ac:dyDescent="0.25">
      <c r="A78">
        <v>0.24388881100000001</v>
      </c>
      <c r="B78">
        <v>-0.50266473700000003</v>
      </c>
      <c r="C78">
        <v>0.77000000000000068</v>
      </c>
      <c r="D78">
        <v>1.463504299</v>
      </c>
      <c r="E78">
        <v>0.76000000000000068</v>
      </c>
      <c r="F78">
        <v>0</v>
      </c>
    </row>
    <row r="79" spans="1:6" x14ac:dyDescent="0.25">
      <c r="A79">
        <v>0.25388881099999999</v>
      </c>
      <c r="B79">
        <v>-0.52377300000000004</v>
      </c>
      <c r="C79">
        <v>0.78000000000000069</v>
      </c>
      <c r="D79">
        <v>1.591794991</v>
      </c>
    </row>
    <row r="80" spans="1:6" x14ac:dyDescent="0.25">
      <c r="A80">
        <v>0.263888811</v>
      </c>
      <c r="B80">
        <v>-0.57600582099999997</v>
      </c>
      <c r="C80">
        <v>0.7900000000000007</v>
      </c>
      <c r="D80">
        <v>1.9465114649999999</v>
      </c>
    </row>
    <row r="81" spans="1:4" x14ac:dyDescent="0.25">
      <c r="A81">
        <v>0.27388881100000001</v>
      </c>
      <c r="B81">
        <v>-0.66319412</v>
      </c>
      <c r="C81">
        <v>0.80000000000000071</v>
      </c>
      <c r="D81">
        <v>2.0429391250000002</v>
      </c>
    </row>
    <row r="82" spans="1:4" x14ac:dyDescent="0.25">
      <c r="A82">
        <v>0.28388881100000002</v>
      </c>
      <c r="B82">
        <v>-0.70296165399999999</v>
      </c>
      <c r="C82">
        <v>0.81000000000000072</v>
      </c>
      <c r="D82">
        <v>1.7953636829999999</v>
      </c>
    </row>
    <row r="83" spans="1:4" x14ac:dyDescent="0.25">
      <c r="A83">
        <v>0.29388881100000003</v>
      </c>
      <c r="B83">
        <v>-0.71641655100000001</v>
      </c>
      <c r="C83">
        <v>0.82000000000000073</v>
      </c>
      <c r="D83">
        <v>1.485506124</v>
      </c>
    </row>
    <row r="84" spans="1:4" x14ac:dyDescent="0.25">
      <c r="A84">
        <v>0.30388881099999998</v>
      </c>
      <c r="B84">
        <v>-0.69625277900000004</v>
      </c>
      <c r="C84">
        <v>0.83000000000000074</v>
      </c>
      <c r="D84">
        <v>1.2783632220000001</v>
      </c>
    </row>
    <row r="85" spans="1:4" x14ac:dyDescent="0.25">
      <c r="A85">
        <v>0.31388881099999999</v>
      </c>
      <c r="B85">
        <v>-0.565707073</v>
      </c>
      <c r="C85">
        <v>0.84000000000000075</v>
      </c>
      <c r="D85">
        <v>0.97443638200000005</v>
      </c>
    </row>
    <row r="86" spans="1:4" x14ac:dyDescent="0.25">
      <c r="A86">
        <v>0.323888811</v>
      </c>
      <c r="B86">
        <v>-0.48334877799999998</v>
      </c>
      <c r="C86">
        <v>0.85000000000000075</v>
      </c>
      <c r="D86">
        <v>0.57190898099999998</v>
      </c>
    </row>
    <row r="87" spans="1:4" x14ac:dyDescent="0.25">
      <c r="A87">
        <v>0.33388881100000001</v>
      </c>
      <c r="B87">
        <v>-0.54962522999999996</v>
      </c>
      <c r="C87">
        <v>0.86000000000000076</v>
      </c>
      <c r="D87">
        <v>0.26804384999999997</v>
      </c>
    </row>
    <row r="88" spans="1:4" x14ac:dyDescent="0.25">
      <c r="A88">
        <v>0.34388881100000002</v>
      </c>
      <c r="B88">
        <v>-0.34634063199999998</v>
      </c>
      <c r="C88">
        <v>0.87000000000000077</v>
      </c>
      <c r="D88">
        <v>0.248973997</v>
      </c>
    </row>
    <row r="89" spans="1:4" x14ac:dyDescent="0.25">
      <c r="A89">
        <v>0.35388881100000003</v>
      </c>
      <c r="B89">
        <v>0.14734360399999999</v>
      </c>
      <c r="C89">
        <v>0.88000000000000078</v>
      </c>
      <c r="D89">
        <v>0.36063889799999999</v>
      </c>
    </row>
    <row r="90" spans="1:4" x14ac:dyDescent="0.25">
      <c r="A90">
        <v>0.36388881099999998</v>
      </c>
      <c r="B90">
        <v>0.88676573400000003</v>
      </c>
    </row>
    <row r="91" spans="1:4" x14ac:dyDescent="0.25">
      <c r="A91">
        <v>0.37388881099999999</v>
      </c>
      <c r="B91">
        <v>1.8749151470000001</v>
      </c>
    </row>
    <row r="92" spans="1:4" x14ac:dyDescent="0.25">
      <c r="A92">
        <v>0.383888811</v>
      </c>
      <c r="B92">
        <v>2.995953262</v>
      </c>
    </row>
    <row r="93" spans="1:4" x14ac:dyDescent="0.25">
      <c r="A93">
        <v>0.39388881100000001</v>
      </c>
      <c r="B93">
        <v>4.2047959559999999</v>
      </c>
    </row>
    <row r="94" spans="1:4" x14ac:dyDescent="0.25">
      <c r="A94">
        <v>0.40388881100000001</v>
      </c>
      <c r="B94">
        <v>5.421401693</v>
      </c>
    </row>
    <row r="95" spans="1:4" x14ac:dyDescent="0.25">
      <c r="A95">
        <v>0.41388881100000002</v>
      </c>
      <c r="B95">
        <v>6.8303359349999999</v>
      </c>
    </row>
    <row r="96" spans="1:4" x14ac:dyDescent="0.25">
      <c r="A96">
        <v>0.42388881099999998</v>
      </c>
      <c r="B96">
        <v>8.2082471189999993</v>
      </c>
    </row>
    <row r="97" spans="1:2" x14ac:dyDescent="0.25">
      <c r="A97">
        <v>0.43388881099999999</v>
      </c>
      <c r="B97">
        <v>9.3477630640000005</v>
      </c>
    </row>
    <row r="98" spans="1:2" x14ac:dyDescent="0.25">
      <c r="A98">
        <v>0.44388881099999999</v>
      </c>
      <c r="B98">
        <v>10.17308534</v>
      </c>
    </row>
    <row r="99" spans="1:2" x14ac:dyDescent="0.25">
      <c r="A99">
        <v>0.453888811</v>
      </c>
      <c r="B99">
        <v>10.8503212</v>
      </c>
    </row>
    <row r="100" spans="1:2" x14ac:dyDescent="0.25">
      <c r="A100">
        <v>0.46388881100000001</v>
      </c>
      <c r="B100">
        <v>11.43002302</v>
      </c>
    </row>
    <row r="101" spans="1:2" x14ac:dyDescent="0.25">
      <c r="A101">
        <v>0.47388881100000002</v>
      </c>
      <c r="B101">
        <v>11.93084228</v>
      </c>
    </row>
    <row r="102" spans="1:2" x14ac:dyDescent="0.25">
      <c r="A102">
        <v>0.48388881099999997</v>
      </c>
      <c r="B102">
        <v>12.477473059999999</v>
      </c>
    </row>
    <row r="103" spans="1:2" x14ac:dyDescent="0.25">
      <c r="A103">
        <v>0.49388881099999998</v>
      </c>
      <c r="B103">
        <v>13.067786679999999</v>
      </c>
    </row>
    <row r="104" spans="1:2" x14ac:dyDescent="0.25">
      <c r="A104">
        <v>0.50388881100000005</v>
      </c>
      <c r="B104">
        <v>13.637513179999999</v>
      </c>
    </row>
    <row r="105" spans="1:2" x14ac:dyDescent="0.25">
      <c r="A105">
        <v>0.51388881099999995</v>
      </c>
      <c r="B105">
        <v>14.160739449999999</v>
      </c>
    </row>
    <row r="106" spans="1:2" x14ac:dyDescent="0.25">
      <c r="A106">
        <v>0.52388881099999995</v>
      </c>
      <c r="B106">
        <v>14.704591669999999</v>
      </c>
    </row>
    <row r="107" spans="1:2" x14ac:dyDescent="0.25">
      <c r="A107">
        <v>0.53388881099999996</v>
      </c>
      <c r="B107">
        <v>15.20096526</v>
      </c>
    </row>
    <row r="108" spans="1:2" x14ac:dyDescent="0.25">
      <c r="A108">
        <v>0.54388881099999997</v>
      </c>
      <c r="B108">
        <v>15.659061660000001</v>
      </c>
    </row>
    <row r="109" spans="1:2" x14ac:dyDescent="0.25">
      <c r="A109">
        <v>0.55388881099999998</v>
      </c>
      <c r="B109">
        <v>16.14153782</v>
      </c>
    </row>
    <row r="110" spans="1:2" x14ac:dyDescent="0.25">
      <c r="A110">
        <v>0.56388881099999999</v>
      </c>
      <c r="B110">
        <v>16.639204679999999</v>
      </c>
    </row>
    <row r="111" spans="1:2" x14ac:dyDescent="0.25">
      <c r="A111">
        <v>0.573888811</v>
      </c>
      <c r="B111">
        <v>17.092890659999998</v>
      </c>
    </row>
    <row r="112" spans="1:2" x14ac:dyDescent="0.25">
      <c r="A112">
        <v>0.58388881100000001</v>
      </c>
      <c r="B112">
        <v>17.583612729999999</v>
      </c>
    </row>
    <row r="113" spans="1:2" x14ac:dyDescent="0.25">
      <c r="A113">
        <v>0.59388881100000002</v>
      </c>
      <c r="B113">
        <v>18.096346279999999</v>
      </c>
    </row>
    <row r="114" spans="1:2" x14ac:dyDescent="0.25">
      <c r="A114">
        <v>0.60388881100000003</v>
      </c>
      <c r="B114">
        <v>18.5159761</v>
      </c>
    </row>
    <row r="115" spans="1:2" x14ac:dyDescent="0.25">
      <c r="A115">
        <v>0.61388881100000003</v>
      </c>
      <c r="B115">
        <v>18.868469399999999</v>
      </c>
    </row>
    <row r="116" spans="1:2" x14ac:dyDescent="0.25">
      <c r="A116">
        <v>0.62388881100000004</v>
      </c>
      <c r="B116">
        <v>19.24800145</v>
      </c>
    </row>
    <row r="117" spans="1:2" x14ac:dyDescent="0.25">
      <c r="A117">
        <v>0.63388881100000005</v>
      </c>
      <c r="B117">
        <v>19.613008180000001</v>
      </c>
    </row>
    <row r="118" spans="1:2" x14ac:dyDescent="0.25">
      <c r="A118">
        <v>0.64388881099999995</v>
      </c>
      <c r="B118">
        <v>19.938813549999999</v>
      </c>
    </row>
    <row r="119" spans="1:2" x14ac:dyDescent="0.25">
      <c r="A119">
        <v>0.65388881099999996</v>
      </c>
      <c r="B119">
        <v>20.28534582</v>
      </c>
    </row>
    <row r="120" spans="1:2" x14ac:dyDescent="0.25">
      <c r="A120">
        <v>0.66388881099999997</v>
      </c>
      <c r="B120">
        <v>20.620718589999999</v>
      </c>
    </row>
    <row r="121" spans="1:2" x14ac:dyDescent="0.25">
      <c r="A121">
        <v>0.67388881099999998</v>
      </c>
      <c r="B121">
        <v>20.884779730000002</v>
      </c>
    </row>
    <row r="122" spans="1:2" x14ac:dyDescent="0.25">
      <c r="A122">
        <v>0.68388881099999999</v>
      </c>
      <c r="B122">
        <v>21.075205740000001</v>
      </c>
    </row>
    <row r="123" spans="1:2" x14ac:dyDescent="0.25">
      <c r="A123">
        <v>0.69388881099999999</v>
      </c>
      <c r="B123">
        <v>21.237676189999998</v>
      </c>
    </row>
    <row r="124" spans="1:2" x14ac:dyDescent="0.25">
      <c r="A124">
        <v>0.703888811</v>
      </c>
      <c r="B124">
        <v>21.352482290000001</v>
      </c>
    </row>
    <row r="125" spans="1:2" x14ac:dyDescent="0.25">
      <c r="A125">
        <v>0.71388881100000001</v>
      </c>
      <c r="B125">
        <v>21.440360139999999</v>
      </c>
    </row>
    <row r="126" spans="1:2" x14ac:dyDescent="0.25">
      <c r="A126">
        <v>0.72388881100000002</v>
      </c>
      <c r="B126">
        <v>21.523028549999999</v>
      </c>
    </row>
    <row r="127" spans="1:2" x14ac:dyDescent="0.25">
      <c r="A127">
        <v>0.73388881100000003</v>
      </c>
      <c r="B127">
        <v>21.619095389999998</v>
      </c>
    </row>
    <row r="128" spans="1:2" x14ac:dyDescent="0.25">
      <c r="A128">
        <v>0.74388881100000004</v>
      </c>
      <c r="B128">
        <v>21.713422049999998</v>
      </c>
    </row>
    <row r="129" spans="1:2" x14ac:dyDescent="0.25">
      <c r="A129">
        <v>0.75388881100000005</v>
      </c>
      <c r="B129">
        <v>21.775124219999999</v>
      </c>
    </row>
    <row r="130" spans="1:2" x14ac:dyDescent="0.25">
      <c r="A130">
        <v>0.76388881099999995</v>
      </c>
      <c r="B130">
        <v>21.82827996</v>
      </c>
    </row>
    <row r="131" spans="1:2" x14ac:dyDescent="0.25">
      <c r="A131">
        <v>0.77388881099999995</v>
      </c>
      <c r="B131">
        <v>21.82823994</v>
      </c>
    </row>
    <row r="132" spans="1:2" x14ac:dyDescent="0.25">
      <c r="A132">
        <v>0.78388881099999996</v>
      </c>
      <c r="B132">
        <v>21.792269539999999</v>
      </c>
    </row>
    <row r="133" spans="1:2" x14ac:dyDescent="0.25">
      <c r="A133">
        <v>0.79388881099999997</v>
      </c>
      <c r="B133">
        <v>21.83201803</v>
      </c>
    </row>
    <row r="134" spans="1:2" x14ac:dyDescent="0.25">
      <c r="A134">
        <v>0.80388881099999998</v>
      </c>
      <c r="B134">
        <v>21.862981510000001</v>
      </c>
    </row>
    <row r="135" spans="1:2" x14ac:dyDescent="0.25">
      <c r="A135">
        <v>0.81388881099999999</v>
      </c>
      <c r="B135">
        <v>21.83815401</v>
      </c>
    </row>
    <row r="136" spans="1:2" x14ac:dyDescent="0.25">
      <c r="A136">
        <v>0.823888811</v>
      </c>
      <c r="B136">
        <v>21.845751029999999</v>
      </c>
    </row>
    <row r="137" spans="1:2" x14ac:dyDescent="0.25">
      <c r="A137">
        <v>0.83388881100000001</v>
      </c>
      <c r="B137">
        <v>21.829692919999999</v>
      </c>
    </row>
    <row r="138" spans="1:2" x14ac:dyDescent="0.25">
      <c r="A138">
        <v>0.84388881100000002</v>
      </c>
      <c r="B138">
        <v>21.767663760000001</v>
      </c>
    </row>
    <row r="139" spans="1:2" x14ac:dyDescent="0.25">
      <c r="A139">
        <v>0.85388881100000003</v>
      </c>
      <c r="B139">
        <v>21.792775710000001</v>
      </c>
    </row>
    <row r="140" spans="1:2" x14ac:dyDescent="0.25">
      <c r="A140">
        <v>0.86388881100000003</v>
      </c>
      <c r="B140">
        <v>21.863932420000001</v>
      </c>
    </row>
    <row r="141" spans="1:2" x14ac:dyDescent="0.25">
      <c r="A141">
        <v>0.87388881100000004</v>
      </c>
      <c r="B141">
        <v>21.920086659999999</v>
      </c>
    </row>
    <row r="142" spans="1:2" x14ac:dyDescent="0.25">
      <c r="A142">
        <v>0.88388881100000005</v>
      </c>
      <c r="B142">
        <v>21.959880850000001</v>
      </c>
    </row>
    <row r="143" spans="1:2" x14ac:dyDescent="0.25">
      <c r="A143">
        <v>0.89388881099999995</v>
      </c>
      <c r="B143">
        <v>21.908528329999999</v>
      </c>
    </row>
    <row r="144" spans="1:2" x14ac:dyDescent="0.25">
      <c r="A144">
        <v>0.90388881099999996</v>
      </c>
      <c r="B144">
        <v>21.762101600000001</v>
      </c>
    </row>
    <row r="145" spans="1:2" x14ac:dyDescent="0.25">
      <c r="A145">
        <v>0.91388881099999997</v>
      </c>
      <c r="B145">
        <v>21.64071139</v>
      </c>
    </row>
    <row r="146" spans="1:2" x14ac:dyDescent="0.25">
      <c r="A146">
        <v>0.92388881099999998</v>
      </c>
      <c r="B146">
        <v>21.54645438</v>
      </c>
    </row>
    <row r="147" spans="1:2" x14ac:dyDescent="0.25">
      <c r="A147">
        <v>0.93388881099999999</v>
      </c>
      <c r="B147">
        <v>21.381948950000002</v>
      </c>
    </row>
    <row r="148" spans="1:2" x14ac:dyDescent="0.25">
      <c r="A148">
        <v>0.94388881099999999</v>
      </c>
      <c r="B148">
        <v>21.046013009999999</v>
      </c>
    </row>
    <row r="149" spans="1:2" x14ac:dyDescent="0.25">
      <c r="A149">
        <v>0.953888811</v>
      </c>
      <c r="B149">
        <v>20.49084642</v>
      </c>
    </row>
    <row r="150" spans="1:2" x14ac:dyDescent="0.25">
      <c r="A150">
        <v>0.96388881100000001</v>
      </c>
      <c r="B150">
        <v>19.709230569999999</v>
      </c>
    </row>
    <row r="151" spans="1:2" x14ac:dyDescent="0.25">
      <c r="A151">
        <v>0.97388881100000002</v>
      </c>
      <c r="B151">
        <v>18.813272959999999</v>
      </c>
    </row>
    <row r="152" spans="1:2" x14ac:dyDescent="0.25">
      <c r="A152">
        <v>0.98388881100000003</v>
      </c>
      <c r="B152">
        <v>17.77648035</v>
      </c>
    </row>
    <row r="153" spans="1:2" x14ac:dyDescent="0.25">
      <c r="A153">
        <v>0.99388881100000004</v>
      </c>
      <c r="B153">
        <v>16.52040002</v>
      </c>
    </row>
    <row r="154" spans="1:2" x14ac:dyDescent="0.25">
      <c r="A154">
        <v>1.0038888109999999</v>
      </c>
      <c r="B154">
        <v>14.90037935</v>
      </c>
    </row>
    <row r="155" spans="1:2" x14ac:dyDescent="0.25">
      <c r="A155">
        <v>1.0138888109999999</v>
      </c>
      <c r="B155">
        <v>12.81673281</v>
      </c>
    </row>
    <row r="156" spans="1:2" x14ac:dyDescent="0.25">
      <c r="A156">
        <v>1.023888811</v>
      </c>
      <c r="B156">
        <v>10.372247570000001</v>
      </c>
    </row>
    <row r="157" spans="1:2" x14ac:dyDescent="0.25">
      <c r="A157">
        <v>1.033888811</v>
      </c>
      <c r="B157">
        <v>7.8596869119999999</v>
      </c>
    </row>
    <row r="158" spans="1:2" x14ac:dyDescent="0.25">
      <c r="A158">
        <v>1.043888811</v>
      </c>
      <c r="B158">
        <v>5.7155618190000004</v>
      </c>
    </row>
    <row r="159" spans="1:2" x14ac:dyDescent="0.25">
      <c r="A159">
        <v>1.053888811</v>
      </c>
      <c r="B159">
        <v>4.3191263400000004</v>
      </c>
    </row>
    <row r="160" spans="1:2" x14ac:dyDescent="0.25">
      <c r="A160">
        <v>1.063888811</v>
      </c>
      <c r="B160">
        <v>3.4943976110000001</v>
      </c>
    </row>
    <row r="161" spans="1:2" x14ac:dyDescent="0.25">
      <c r="A161">
        <v>1.073888811</v>
      </c>
      <c r="B161">
        <v>2.8543645789999998</v>
      </c>
    </row>
    <row r="162" spans="1:2" x14ac:dyDescent="0.25">
      <c r="A162">
        <v>1.083888811</v>
      </c>
      <c r="B162">
        <v>2.4096080799999999</v>
      </c>
    </row>
    <row r="163" spans="1:2" x14ac:dyDescent="0.25">
      <c r="A163">
        <v>1.093888811</v>
      </c>
      <c r="B163">
        <v>2.0869797619999999</v>
      </c>
    </row>
    <row r="164" spans="1:2" x14ac:dyDescent="0.25">
      <c r="A164">
        <v>1.103888811</v>
      </c>
      <c r="B164">
        <v>1.7259193530000001</v>
      </c>
    </row>
    <row r="165" spans="1:2" x14ac:dyDescent="0.25">
      <c r="A165">
        <v>1.113888811</v>
      </c>
      <c r="B165">
        <v>1.463504299</v>
      </c>
    </row>
    <row r="166" spans="1:2" x14ac:dyDescent="0.25">
      <c r="A166">
        <v>1.123888811</v>
      </c>
      <c r="B166">
        <v>1.591794991</v>
      </c>
    </row>
    <row r="167" spans="1:2" x14ac:dyDescent="0.25">
      <c r="A167">
        <v>1.1338888110000001</v>
      </c>
      <c r="B167">
        <v>1.9465114649999999</v>
      </c>
    </row>
    <row r="168" spans="1:2" x14ac:dyDescent="0.25">
      <c r="A168">
        <v>1.1438888110000001</v>
      </c>
      <c r="B168">
        <v>2.0429391250000002</v>
      </c>
    </row>
    <row r="169" spans="1:2" x14ac:dyDescent="0.25">
      <c r="A169">
        <v>1.1538888110000001</v>
      </c>
      <c r="B169">
        <v>1.7953636829999999</v>
      </c>
    </row>
    <row r="170" spans="1:2" x14ac:dyDescent="0.25">
      <c r="A170">
        <v>1.1638888110000001</v>
      </c>
      <c r="B170">
        <v>1.485506124</v>
      </c>
    </row>
    <row r="171" spans="1:2" x14ac:dyDescent="0.25">
      <c r="A171">
        <v>1.1738888110000001</v>
      </c>
      <c r="B171">
        <v>1.2783632220000001</v>
      </c>
    </row>
    <row r="172" spans="1:2" x14ac:dyDescent="0.25">
      <c r="A172">
        <v>1.1838888110000001</v>
      </c>
      <c r="B172">
        <v>0.97443638200000005</v>
      </c>
    </row>
    <row r="173" spans="1:2" x14ac:dyDescent="0.25">
      <c r="A173">
        <v>1.1938888110000001</v>
      </c>
      <c r="B173">
        <v>0.57190898099999998</v>
      </c>
    </row>
    <row r="174" spans="1:2" x14ac:dyDescent="0.25">
      <c r="A174">
        <v>1.2038888109999999</v>
      </c>
      <c r="B174">
        <v>0.26804384999999997</v>
      </c>
    </row>
    <row r="175" spans="1:2" x14ac:dyDescent="0.25">
      <c r="A175">
        <v>1.2138888109999999</v>
      </c>
      <c r="B175">
        <v>0.248973997</v>
      </c>
    </row>
    <row r="176" spans="1:2" x14ac:dyDescent="0.25">
      <c r="A176">
        <v>1.2238888109999999</v>
      </c>
      <c r="B176">
        <v>0.36063889799999999</v>
      </c>
    </row>
    <row r="177" spans="1:2" x14ac:dyDescent="0.25">
      <c r="A177">
        <v>1.2338888109999999</v>
      </c>
      <c r="B177">
        <v>0.33195859599999999</v>
      </c>
    </row>
    <row r="178" spans="1:2" x14ac:dyDescent="0.25">
      <c r="A178">
        <v>1.2438888109999999</v>
      </c>
      <c r="B178">
        <v>0.14079508800000001</v>
      </c>
    </row>
    <row r="179" spans="1:2" x14ac:dyDescent="0.25">
      <c r="A179">
        <v>1.2538888109999999</v>
      </c>
      <c r="B179">
        <v>-3.8877844000000002E-2</v>
      </c>
    </row>
    <row r="180" spans="1:2" x14ac:dyDescent="0.25">
      <c r="A180">
        <v>1.2638888109999999</v>
      </c>
      <c r="B180">
        <v>-0.15459832300000001</v>
      </c>
    </row>
    <row r="181" spans="1:2" x14ac:dyDescent="0.25">
      <c r="A181">
        <v>1.273888811</v>
      </c>
      <c r="B181">
        <v>-0.28007374400000001</v>
      </c>
    </row>
    <row r="182" spans="1:2" x14ac:dyDescent="0.25">
      <c r="A182">
        <v>1.283888811</v>
      </c>
      <c r="B182">
        <v>-0.41877286499999999</v>
      </c>
    </row>
    <row r="183" spans="1:2" x14ac:dyDescent="0.25">
      <c r="A183">
        <v>1.293888811</v>
      </c>
      <c r="B183">
        <v>-0.48076328000000002</v>
      </c>
    </row>
    <row r="184" spans="1:2" x14ac:dyDescent="0.25">
      <c r="A184">
        <v>1.303888811</v>
      </c>
      <c r="B184">
        <v>-0.44226533299999998</v>
      </c>
    </row>
    <row r="185" spans="1:2" x14ac:dyDescent="0.25">
      <c r="A185">
        <v>1.313888811</v>
      </c>
      <c r="B185">
        <v>-0.449068199</v>
      </c>
    </row>
    <row r="186" spans="1:2" x14ac:dyDescent="0.25">
      <c r="A186">
        <v>1.323888811</v>
      </c>
      <c r="B186">
        <v>-0.57495280699999995</v>
      </c>
    </row>
    <row r="187" spans="1:2" x14ac:dyDescent="0.25">
      <c r="A187">
        <v>1.333888811</v>
      </c>
      <c r="B187">
        <v>-0.709596004</v>
      </c>
    </row>
    <row r="188" spans="1:2" x14ac:dyDescent="0.25">
      <c r="A188">
        <v>1.343888811</v>
      </c>
      <c r="B188">
        <v>-0.71320469500000006</v>
      </c>
    </row>
    <row r="189" spans="1:2" x14ac:dyDescent="0.25">
      <c r="A189">
        <v>1.353888811</v>
      </c>
      <c r="B189">
        <v>-0.66274185699999999</v>
      </c>
    </row>
    <row r="190" spans="1:2" x14ac:dyDescent="0.25">
      <c r="A190">
        <v>1.363888811</v>
      </c>
      <c r="B190">
        <v>-0.63153787699999997</v>
      </c>
    </row>
    <row r="191" spans="1:2" x14ac:dyDescent="0.25">
      <c r="A191">
        <v>1.373888811</v>
      </c>
      <c r="B191">
        <v>-0.60990892399999996</v>
      </c>
    </row>
    <row r="192" spans="1:2" x14ac:dyDescent="0.25">
      <c r="A192">
        <v>1.3838888110000001</v>
      </c>
      <c r="B192">
        <v>-0.584826654</v>
      </c>
    </row>
    <row r="193" spans="1:2" x14ac:dyDescent="0.25">
      <c r="A193">
        <v>1.3938888110000001</v>
      </c>
      <c r="B193">
        <v>-0.59251125999999998</v>
      </c>
    </row>
    <row r="194" spans="1:2" x14ac:dyDescent="0.25">
      <c r="A194">
        <v>1.4038888110000001</v>
      </c>
      <c r="B194">
        <v>-0.62116415599999997</v>
      </c>
    </row>
    <row r="195" spans="1:2" x14ac:dyDescent="0.25">
      <c r="A195">
        <v>1.4138888110000001</v>
      </c>
      <c r="B195">
        <v>-0.62314563700000003</v>
      </c>
    </row>
    <row r="196" spans="1:2" x14ac:dyDescent="0.25">
      <c r="A196">
        <v>1.4238888110000001</v>
      </c>
      <c r="B196">
        <v>-0.57105583699999996</v>
      </c>
    </row>
    <row r="197" spans="1:2" x14ac:dyDescent="0.25">
      <c r="A197">
        <v>1.4338888110000001</v>
      </c>
      <c r="B197">
        <v>-0.45375618400000001</v>
      </c>
    </row>
    <row r="198" spans="1:2" x14ac:dyDescent="0.25">
      <c r="A198">
        <v>1.4438888110000001</v>
      </c>
      <c r="B198">
        <v>-0.30637876800000002</v>
      </c>
    </row>
    <row r="199" spans="1:2" x14ac:dyDescent="0.25">
      <c r="A199">
        <v>1.4538888109999999</v>
      </c>
      <c r="B199">
        <v>-0.22667795600000001</v>
      </c>
    </row>
    <row r="200" spans="1:2" x14ac:dyDescent="0.25">
      <c r="A200">
        <v>1.4638888109999999</v>
      </c>
      <c r="B200">
        <v>-0.17058939100000001</v>
      </c>
    </row>
    <row r="201" spans="1:2" x14ac:dyDescent="0.25">
      <c r="A201">
        <v>1.4738888109999999</v>
      </c>
      <c r="B201">
        <v>-0.13190021800000001</v>
      </c>
    </row>
    <row r="202" spans="1:2" x14ac:dyDescent="0.25">
      <c r="A202">
        <v>1.4838888109999999</v>
      </c>
      <c r="B202">
        <v>-0.10675717699999999</v>
      </c>
    </row>
    <row r="203" spans="1:2" x14ac:dyDescent="0.25">
      <c r="A203">
        <v>1.4938888109999999</v>
      </c>
      <c r="B203">
        <v>-4.5167174999999997E-2</v>
      </c>
    </row>
    <row r="204" spans="1:2" x14ac:dyDescent="0.25">
      <c r="A204">
        <v>1.5038888109999999</v>
      </c>
      <c r="B204">
        <v>5.7814650000000002E-2</v>
      </c>
    </row>
    <row r="205" spans="1:2" x14ac:dyDescent="0.25">
      <c r="A205">
        <v>1.5138888109999999</v>
      </c>
      <c r="B205">
        <v>0.154043285</v>
      </c>
    </row>
    <row r="206" spans="1:2" x14ac:dyDescent="0.25">
      <c r="A206">
        <v>1.523888811</v>
      </c>
      <c r="B206">
        <v>0.219086855</v>
      </c>
    </row>
    <row r="207" spans="1:2" x14ac:dyDescent="0.25">
      <c r="A207">
        <v>1.533888811</v>
      </c>
      <c r="B207">
        <v>0.23956392100000001</v>
      </c>
    </row>
    <row r="208" spans="1:2" x14ac:dyDescent="0.25">
      <c r="A208">
        <v>1.543888811</v>
      </c>
      <c r="B208">
        <v>0.252954136</v>
      </c>
    </row>
    <row r="209" spans="1:2" x14ac:dyDescent="0.25">
      <c r="A209">
        <v>1.553888811</v>
      </c>
      <c r="B209">
        <v>0.282827783</v>
      </c>
    </row>
    <row r="210" spans="1:2" x14ac:dyDescent="0.25">
      <c r="A210">
        <v>1.563888811</v>
      </c>
      <c r="B210">
        <v>0.31243242799999998</v>
      </c>
    </row>
    <row r="211" spans="1:2" x14ac:dyDescent="0.25">
      <c r="A211">
        <v>1.573888811</v>
      </c>
      <c r="B211">
        <v>0.34685378900000002</v>
      </c>
    </row>
    <row r="212" spans="1:2" x14ac:dyDescent="0.25">
      <c r="A212">
        <v>1.583888811</v>
      </c>
      <c r="B212">
        <v>0.38906663600000002</v>
      </c>
    </row>
    <row r="213" spans="1:2" x14ac:dyDescent="0.25">
      <c r="A213">
        <v>1.593888811</v>
      </c>
      <c r="B213">
        <v>0.39565467599999998</v>
      </c>
    </row>
    <row r="214" spans="1:2" x14ac:dyDescent="0.25">
      <c r="A214">
        <v>1.603888811</v>
      </c>
      <c r="B214">
        <v>0.35931618500000001</v>
      </c>
    </row>
    <row r="215" spans="1:2" x14ac:dyDescent="0.25">
      <c r="A215">
        <v>1.613888811</v>
      </c>
      <c r="B215">
        <v>0.28069105300000002</v>
      </c>
    </row>
    <row r="216" spans="1:2" x14ac:dyDescent="0.25">
      <c r="A216">
        <v>1.623888811</v>
      </c>
      <c r="B216">
        <v>0.207056567</v>
      </c>
    </row>
    <row r="217" spans="1:2" x14ac:dyDescent="0.25">
      <c r="A217">
        <v>1.6338888110000001</v>
      </c>
      <c r="B217">
        <v>0.163217637</v>
      </c>
    </row>
    <row r="218" spans="1:2" x14ac:dyDescent="0.25">
      <c r="A218">
        <v>1.6438888110000001</v>
      </c>
      <c r="B218">
        <v>0.13737701399999999</v>
      </c>
    </row>
    <row r="219" spans="1:2" x14ac:dyDescent="0.25">
      <c r="A219">
        <v>1.6538888110000001</v>
      </c>
      <c r="B219">
        <v>0.11526217800000001</v>
      </c>
    </row>
    <row r="220" spans="1:2" x14ac:dyDescent="0.25">
      <c r="A220">
        <v>1.6638888110000001</v>
      </c>
      <c r="B220">
        <v>6.3257470999999996E-2</v>
      </c>
    </row>
    <row r="221" spans="1:2" x14ac:dyDescent="0.25">
      <c r="A221">
        <v>1.6738888110000001</v>
      </c>
      <c r="B221">
        <v>1.8959673999999999E-2</v>
      </c>
    </row>
    <row r="222" spans="1:2" x14ac:dyDescent="0.25">
      <c r="A222">
        <v>1.6838888110000001</v>
      </c>
      <c r="B222">
        <v>-5.6032629999999998E-3</v>
      </c>
    </row>
    <row r="223" spans="1:2" x14ac:dyDescent="0.25">
      <c r="A223">
        <v>1.6938888110000001</v>
      </c>
      <c r="B223">
        <v>-1.9495114000000001E-2</v>
      </c>
    </row>
    <row r="224" spans="1:2" x14ac:dyDescent="0.25">
      <c r="A224">
        <v>1.7038888109999999</v>
      </c>
      <c r="B224">
        <v>-4.6163712000000003E-2</v>
      </c>
    </row>
    <row r="225" spans="1:2" x14ac:dyDescent="0.25">
      <c r="A225">
        <v>1.7138888109999999</v>
      </c>
      <c r="B225">
        <v>-9.1929070000000002E-2</v>
      </c>
    </row>
    <row r="226" spans="1:2" x14ac:dyDescent="0.25">
      <c r="A226">
        <v>1.7238888109999999</v>
      </c>
      <c r="B226">
        <v>-0.141774026</v>
      </c>
    </row>
    <row r="227" spans="1:2" x14ac:dyDescent="0.25">
      <c r="A227">
        <v>1.7338888109999999</v>
      </c>
      <c r="B227">
        <v>-0.172501923</v>
      </c>
    </row>
    <row r="228" spans="1:2" x14ac:dyDescent="0.25">
      <c r="A228">
        <v>1.7438888109999999</v>
      </c>
      <c r="B228">
        <v>-0.190695528</v>
      </c>
    </row>
    <row r="229" spans="1:2" x14ac:dyDescent="0.25">
      <c r="A229">
        <v>1.7538888109999999</v>
      </c>
      <c r="B229">
        <v>-0.22104390600000001</v>
      </c>
    </row>
    <row r="230" spans="1:2" x14ac:dyDescent="0.25">
      <c r="A230">
        <v>1.7638888109999999</v>
      </c>
      <c r="B230">
        <v>-0.23798994400000001</v>
      </c>
    </row>
    <row r="231" spans="1:2" x14ac:dyDescent="0.25">
      <c r="A231">
        <v>1.773888811</v>
      </c>
      <c r="B231">
        <v>-0.246253202</v>
      </c>
    </row>
    <row r="232" spans="1:2" x14ac:dyDescent="0.25">
      <c r="A232">
        <v>1.783888811</v>
      </c>
      <c r="B232">
        <v>-0.249434721</v>
      </c>
    </row>
    <row r="233" spans="1:2" x14ac:dyDescent="0.25">
      <c r="A233">
        <v>1.793888811</v>
      </c>
      <c r="B233">
        <v>-0.22111700500000001</v>
      </c>
    </row>
    <row r="234" spans="1:2" x14ac:dyDescent="0.25">
      <c r="A234">
        <v>1.803888811</v>
      </c>
      <c r="B234">
        <v>-0.16813647200000001</v>
      </c>
    </row>
    <row r="235" spans="1:2" x14ac:dyDescent="0.25">
      <c r="A235">
        <v>1.813888811</v>
      </c>
      <c r="B235">
        <v>-0.12845953800000001</v>
      </c>
    </row>
    <row r="236" spans="1:2" x14ac:dyDescent="0.25">
      <c r="A236">
        <v>1.823888811</v>
      </c>
      <c r="B236">
        <v>-8.8559971000000001E-2</v>
      </c>
    </row>
    <row r="237" spans="1:2" x14ac:dyDescent="0.25">
      <c r="A237">
        <v>1.833888811</v>
      </c>
      <c r="B237">
        <v>-3.9755192000000002E-2</v>
      </c>
    </row>
    <row r="238" spans="1:2" x14ac:dyDescent="0.25">
      <c r="A238">
        <v>1.843888811</v>
      </c>
      <c r="B238">
        <v>2.7377621000000001E-2</v>
      </c>
    </row>
    <row r="239" spans="1:2" x14ac:dyDescent="0.25">
      <c r="A239">
        <v>1.853888811</v>
      </c>
      <c r="B239">
        <v>7.8223981999999997E-2</v>
      </c>
    </row>
    <row r="240" spans="1:2" x14ac:dyDescent="0.25">
      <c r="A240">
        <v>1.863888811</v>
      </c>
      <c r="B240">
        <v>0.13462197200000001</v>
      </c>
    </row>
    <row r="241" spans="1:2" x14ac:dyDescent="0.25">
      <c r="A241">
        <v>1.873888811</v>
      </c>
      <c r="B241">
        <v>0.162211032</v>
      </c>
    </row>
    <row r="242" spans="1:2" x14ac:dyDescent="0.25">
      <c r="A242">
        <v>1.8838888110000001</v>
      </c>
      <c r="B242">
        <v>0.165097717</v>
      </c>
    </row>
    <row r="243" spans="1:2" x14ac:dyDescent="0.25">
      <c r="A243">
        <v>1.8938888110000001</v>
      </c>
      <c r="B243">
        <v>0.193652306</v>
      </c>
    </row>
    <row r="244" spans="1:2" x14ac:dyDescent="0.25">
      <c r="A244">
        <v>1.9038888110000001</v>
      </c>
      <c r="B244">
        <v>0.21077612000000001</v>
      </c>
    </row>
    <row r="245" spans="1:2" x14ac:dyDescent="0.25">
      <c r="A245">
        <v>1.9138888110000001</v>
      </c>
      <c r="B245">
        <v>0.207667881</v>
      </c>
    </row>
    <row r="246" spans="1:2" x14ac:dyDescent="0.25">
      <c r="A246">
        <v>1.9238888110000001</v>
      </c>
      <c r="B246">
        <v>0.220059474</v>
      </c>
    </row>
    <row r="247" spans="1:2" x14ac:dyDescent="0.25">
      <c r="A247">
        <v>1.9338888110000001</v>
      </c>
      <c r="B247">
        <v>0.24906015100000001</v>
      </c>
    </row>
    <row r="248" spans="1:2" x14ac:dyDescent="0.25">
      <c r="A248">
        <v>1.9438888110000001</v>
      </c>
      <c r="B248">
        <v>0.29304988100000001</v>
      </c>
    </row>
    <row r="249" spans="1:2" x14ac:dyDescent="0.25">
      <c r="A249">
        <v>1.9538888109999999</v>
      </c>
      <c r="B249">
        <v>0.29608136099999999</v>
      </c>
    </row>
    <row r="250" spans="1:2" x14ac:dyDescent="0.25">
      <c r="A250">
        <v>1.9638888109999999</v>
      </c>
      <c r="B250">
        <v>0.27467034200000001</v>
      </c>
    </row>
    <row r="251" spans="1:2" x14ac:dyDescent="0.25">
      <c r="A251">
        <v>1.9738888109999999</v>
      </c>
      <c r="B251">
        <v>0.23143282400000001</v>
      </c>
    </row>
    <row r="252" spans="1:2" x14ac:dyDescent="0.25">
      <c r="A252">
        <v>1.9838888109999999</v>
      </c>
      <c r="B252">
        <v>0.18461217399999999</v>
      </c>
    </row>
    <row r="253" spans="1:2" x14ac:dyDescent="0.25">
      <c r="A253">
        <v>1.9938888109999999</v>
      </c>
      <c r="B253">
        <v>0.129620613</v>
      </c>
    </row>
    <row r="254" spans="1:2" x14ac:dyDescent="0.25">
      <c r="A254">
        <v>2.0038888109999999</v>
      </c>
      <c r="B254">
        <v>9.1269141999999998E-2</v>
      </c>
    </row>
    <row r="255" spans="1:2" x14ac:dyDescent="0.25">
      <c r="A255">
        <v>2.0138888110000002</v>
      </c>
      <c r="B255">
        <v>7.2526933000000002E-2</v>
      </c>
    </row>
    <row r="256" spans="1:2" x14ac:dyDescent="0.25">
      <c r="A256">
        <v>2.023888811</v>
      </c>
      <c r="B256">
        <v>5.9244773000000001E-2</v>
      </c>
    </row>
    <row r="257" spans="1:2" x14ac:dyDescent="0.25">
      <c r="A257">
        <v>2.0338888110000002</v>
      </c>
      <c r="B257">
        <v>1.4581266000000001E-2</v>
      </c>
    </row>
    <row r="258" spans="1:2" x14ac:dyDescent="0.25">
      <c r="A258">
        <v>2.043888811</v>
      </c>
      <c r="B258">
        <v>-3.9246653999999999E-2</v>
      </c>
    </row>
    <row r="259" spans="1:2" x14ac:dyDescent="0.25">
      <c r="A259">
        <v>2.0538888110000002</v>
      </c>
      <c r="B259">
        <v>-0.108188613</v>
      </c>
    </row>
    <row r="260" spans="1:2" x14ac:dyDescent="0.25">
      <c r="A260">
        <v>2.063888811</v>
      </c>
      <c r="B260">
        <v>-0.17276401799999999</v>
      </c>
    </row>
    <row r="261" spans="1:2" x14ac:dyDescent="0.25">
      <c r="A261">
        <v>2.0738888110000002</v>
      </c>
      <c r="B261">
        <v>-0.22491260199999999</v>
      </c>
    </row>
    <row r="262" spans="1:2" x14ac:dyDescent="0.25">
      <c r="A262">
        <v>2.083888811</v>
      </c>
      <c r="B262">
        <v>-0.28274951399999998</v>
      </c>
    </row>
    <row r="263" spans="1:2" x14ac:dyDescent="0.25">
      <c r="A263">
        <v>2.0938888109999998</v>
      </c>
      <c r="B263">
        <v>-0.34552800700000003</v>
      </c>
    </row>
    <row r="264" spans="1:2" x14ac:dyDescent="0.25">
      <c r="A264">
        <v>2.103888811</v>
      </c>
      <c r="B264">
        <v>-0.39873361899999998</v>
      </c>
    </row>
    <row r="265" spans="1:2" x14ac:dyDescent="0.25">
      <c r="A265">
        <v>2.1138888109999998</v>
      </c>
      <c r="B265">
        <v>-0.41843176399999998</v>
      </c>
    </row>
    <row r="266" spans="1:2" x14ac:dyDescent="0.25">
      <c r="A266">
        <v>2.123888811</v>
      </c>
      <c r="B266">
        <v>-0.41282428700000001</v>
      </c>
    </row>
    <row r="267" spans="1:2" x14ac:dyDescent="0.25">
      <c r="A267">
        <v>2.1338888109999998</v>
      </c>
      <c r="B267">
        <v>-0.40226480100000001</v>
      </c>
    </row>
    <row r="268" spans="1:2" x14ac:dyDescent="0.25">
      <c r="A268">
        <v>2.1438888110000001</v>
      </c>
      <c r="B268">
        <v>-0.395810204</v>
      </c>
    </row>
    <row r="269" spans="1:2" x14ac:dyDescent="0.25">
      <c r="A269">
        <v>2.1538888109999998</v>
      </c>
      <c r="B269">
        <v>-0.39407874799999998</v>
      </c>
    </row>
    <row r="270" spans="1:2" x14ac:dyDescent="0.25">
      <c r="A270">
        <v>2.1638888110000001</v>
      </c>
      <c r="B270">
        <v>-0.40178161699999998</v>
      </c>
    </row>
    <row r="271" spans="1:2" x14ac:dyDescent="0.25">
      <c r="A271">
        <v>2.1738888109999999</v>
      </c>
      <c r="B271">
        <v>-0.40601464300000001</v>
      </c>
    </row>
    <row r="272" spans="1:2" x14ac:dyDescent="0.25">
      <c r="A272">
        <v>2.1838888110000001</v>
      </c>
      <c r="B272">
        <v>-0.41136875899999997</v>
      </c>
    </row>
    <row r="273" spans="1:2" x14ac:dyDescent="0.25">
      <c r="A273">
        <v>2.1938888109999999</v>
      </c>
      <c r="B273">
        <v>-0.40754838700000001</v>
      </c>
    </row>
    <row r="274" spans="1:2" x14ac:dyDescent="0.25">
      <c r="A274">
        <v>2.2038888110000001</v>
      </c>
      <c r="B274">
        <v>-0.39182890300000001</v>
      </c>
    </row>
    <row r="275" spans="1:2" x14ac:dyDescent="0.25">
      <c r="A275">
        <v>2.2138888109999999</v>
      </c>
      <c r="B275">
        <v>-0.35243223899999998</v>
      </c>
    </row>
    <row r="276" spans="1:2" x14ac:dyDescent="0.25">
      <c r="A276">
        <v>2.2238888110000001</v>
      </c>
      <c r="B276">
        <v>-0.30599008799999999</v>
      </c>
    </row>
    <row r="277" spans="1:2" x14ac:dyDescent="0.25">
      <c r="A277">
        <v>2.2338888109999999</v>
      </c>
      <c r="B277">
        <v>-0.25486226000000001</v>
      </c>
    </row>
    <row r="278" spans="1:2" x14ac:dyDescent="0.25">
      <c r="A278">
        <v>2.2438888110000001</v>
      </c>
      <c r="B278">
        <v>-0.223237923</v>
      </c>
    </row>
    <row r="279" spans="1:2" x14ac:dyDescent="0.25">
      <c r="A279">
        <v>2.2538888109999999</v>
      </c>
      <c r="B279">
        <v>-0.20230140599999999</v>
      </c>
    </row>
    <row r="280" spans="1:2" x14ac:dyDescent="0.25">
      <c r="A280">
        <v>2.2638888110000002</v>
      </c>
      <c r="B280">
        <v>-0.182869007</v>
      </c>
    </row>
    <row r="281" spans="1:2" x14ac:dyDescent="0.25">
      <c r="A281">
        <v>2.273888811</v>
      </c>
      <c r="B281">
        <v>-0.14385373600000001</v>
      </c>
    </row>
    <row r="282" spans="1:2" x14ac:dyDescent="0.25">
      <c r="A282">
        <v>2.2838888110000002</v>
      </c>
      <c r="B282">
        <v>-9.9776783999999993E-2</v>
      </c>
    </row>
    <row r="283" spans="1:2" x14ac:dyDescent="0.25">
      <c r="A283">
        <v>2.293888811</v>
      </c>
      <c r="B283">
        <v>-4.2950086999999998E-2</v>
      </c>
    </row>
    <row r="284" spans="1:2" x14ac:dyDescent="0.25">
      <c r="A284">
        <v>2.3038888110000002</v>
      </c>
      <c r="B284">
        <v>1.0867979E-2</v>
      </c>
    </row>
    <row r="285" spans="1:2" x14ac:dyDescent="0.25">
      <c r="A285">
        <v>2.313888811</v>
      </c>
      <c r="B285">
        <v>5.2128112999999997E-2</v>
      </c>
    </row>
    <row r="286" spans="1:2" x14ac:dyDescent="0.25">
      <c r="A286">
        <v>2.3238888110000002</v>
      </c>
      <c r="B286">
        <v>6.4091258999999998E-2</v>
      </c>
    </row>
    <row r="287" spans="1:2" x14ac:dyDescent="0.25">
      <c r="A287">
        <v>2.333888811</v>
      </c>
      <c r="B287">
        <v>4.5902690000000003E-2</v>
      </c>
    </row>
    <row r="288" spans="1:2" x14ac:dyDescent="0.25">
      <c r="A288">
        <v>2.3438888109999998</v>
      </c>
      <c r="B288">
        <v>9.731857E-3</v>
      </c>
    </row>
    <row r="289" spans="1:2" x14ac:dyDescent="0.25">
      <c r="A289">
        <v>2.353888811</v>
      </c>
      <c r="B289">
        <v>-1.0054866000000001E-2</v>
      </c>
    </row>
    <row r="290" spans="1:2" x14ac:dyDescent="0.25">
      <c r="A290">
        <v>2.3638888109999998</v>
      </c>
      <c r="B290">
        <v>1.0598075E-2</v>
      </c>
    </row>
    <row r="291" spans="1:2" x14ac:dyDescent="0.25">
      <c r="A291">
        <v>2.373888811</v>
      </c>
      <c r="B291">
        <v>9.1576699999999997E-3</v>
      </c>
    </row>
    <row r="292" spans="1:2" x14ac:dyDescent="0.25">
      <c r="A292">
        <v>2.3838888109999998</v>
      </c>
      <c r="B292">
        <v>5.9761149999999997E-3</v>
      </c>
    </row>
    <row r="293" spans="1:2" x14ac:dyDescent="0.25">
      <c r="A293">
        <v>2.3938888110000001</v>
      </c>
      <c r="B293">
        <v>-2.6668690000000001E-3</v>
      </c>
    </row>
    <row r="294" spans="1:2" x14ac:dyDescent="0.25">
      <c r="A294">
        <v>2.4038888109999998</v>
      </c>
      <c r="B294">
        <v>2.1434523E-2</v>
      </c>
    </row>
    <row r="295" spans="1:2" x14ac:dyDescent="0.25">
      <c r="A295">
        <v>2.4138888110000001</v>
      </c>
      <c r="B295">
        <v>2.1580551999999999E-2</v>
      </c>
    </row>
    <row r="296" spans="1:2" x14ac:dyDescent="0.25">
      <c r="A296">
        <v>2.4238888109999999</v>
      </c>
      <c r="B296">
        <v>8.3253779999999996E-3</v>
      </c>
    </row>
    <row r="297" spans="1:2" x14ac:dyDescent="0.25">
      <c r="A297">
        <v>2.4338888110000001</v>
      </c>
      <c r="B297">
        <v>-3.3164010000000001E-3</v>
      </c>
    </row>
    <row r="298" spans="1:2" x14ac:dyDescent="0.25">
      <c r="A298">
        <v>2.4438888109999999</v>
      </c>
      <c r="B298">
        <v>-4.0427809999999996E-3</v>
      </c>
    </row>
    <row r="299" spans="1:2" x14ac:dyDescent="0.25">
      <c r="A299">
        <v>2.4538888110000001</v>
      </c>
      <c r="B299">
        <v>-2.0774713E-2</v>
      </c>
    </row>
    <row r="300" spans="1:2" x14ac:dyDescent="0.25">
      <c r="A300">
        <v>2.4638888109999999</v>
      </c>
      <c r="B300">
        <v>-2.1007245000000001E-2</v>
      </c>
    </row>
    <row r="301" spans="1:2" x14ac:dyDescent="0.25">
      <c r="A301">
        <v>2.4738888110000001</v>
      </c>
      <c r="B301">
        <v>-5.0393428999999997E-2</v>
      </c>
    </row>
    <row r="302" spans="1:2" x14ac:dyDescent="0.25">
      <c r="A302">
        <v>2.4838888109999999</v>
      </c>
      <c r="B302">
        <v>-7.5926143000000001E-2</v>
      </c>
    </row>
    <row r="303" spans="1:2" x14ac:dyDescent="0.25">
      <c r="A303">
        <v>2.4938888110000001</v>
      </c>
      <c r="B303">
        <v>-9.3886089000000006E-2</v>
      </c>
    </row>
    <row r="304" spans="1:2" x14ac:dyDescent="0.25">
      <c r="A304">
        <v>2.5038888109999999</v>
      </c>
      <c r="B304">
        <v>-9.4974016999999994E-2</v>
      </c>
    </row>
    <row r="305" spans="1:2" x14ac:dyDescent="0.25">
      <c r="A305">
        <v>2.5138888110000002</v>
      </c>
      <c r="B305">
        <v>-9.8175276000000006E-2</v>
      </c>
    </row>
    <row r="306" spans="1:2" x14ac:dyDescent="0.25">
      <c r="A306">
        <v>2.523888811</v>
      </c>
      <c r="B306">
        <v>-0.101256217</v>
      </c>
    </row>
    <row r="307" spans="1:2" x14ac:dyDescent="0.25">
      <c r="A307">
        <v>2.5338888110000002</v>
      </c>
      <c r="B307">
        <v>-0.105829355</v>
      </c>
    </row>
    <row r="308" spans="1:2" x14ac:dyDescent="0.25">
      <c r="A308">
        <v>2.543888811</v>
      </c>
      <c r="B308">
        <v>-0.123429398</v>
      </c>
    </row>
    <row r="309" spans="1:2" x14ac:dyDescent="0.25">
      <c r="A309">
        <v>2.5538888110000002</v>
      </c>
      <c r="B309">
        <v>-0.13172376699999999</v>
      </c>
    </row>
    <row r="310" spans="1:2" x14ac:dyDescent="0.25">
      <c r="A310">
        <v>2.563888811</v>
      </c>
      <c r="B310">
        <v>-0.14076370699999999</v>
      </c>
    </row>
    <row r="311" spans="1:2" x14ac:dyDescent="0.25">
      <c r="A311">
        <v>2.5738888110000002</v>
      </c>
      <c r="B311">
        <v>-0.13764905999999999</v>
      </c>
    </row>
    <row r="312" spans="1:2" x14ac:dyDescent="0.25">
      <c r="A312">
        <v>2.583888811</v>
      </c>
      <c r="B312">
        <v>-0.12002869100000001</v>
      </c>
    </row>
    <row r="313" spans="1:2" x14ac:dyDescent="0.25">
      <c r="A313">
        <v>2.5938888109999998</v>
      </c>
      <c r="B313">
        <v>-7.8606466999999999E-2</v>
      </c>
    </row>
    <row r="314" spans="1:2" x14ac:dyDescent="0.25">
      <c r="A314">
        <v>2.603888811</v>
      </c>
      <c r="B314">
        <v>-2.7037261E-2</v>
      </c>
    </row>
    <row r="315" spans="1:2" x14ac:dyDescent="0.25">
      <c r="A315">
        <v>2.6138888109999998</v>
      </c>
      <c r="B315">
        <v>9.618985E-3</v>
      </c>
    </row>
    <row r="316" spans="1:2" x14ac:dyDescent="0.25">
      <c r="A316">
        <v>2.623888811</v>
      </c>
      <c r="B316">
        <v>3.6578773000000002E-2</v>
      </c>
    </row>
    <row r="317" spans="1:2" x14ac:dyDescent="0.25">
      <c r="A317">
        <v>2.6338888109999998</v>
      </c>
      <c r="B317">
        <v>5.3970677000000002E-2</v>
      </c>
    </row>
    <row r="318" spans="1:2" x14ac:dyDescent="0.25">
      <c r="A318">
        <v>2.6438888110000001</v>
      </c>
      <c r="B318">
        <v>7.0605760000000004E-2</v>
      </c>
    </row>
    <row r="319" spans="1:2" x14ac:dyDescent="0.25">
      <c r="A319">
        <v>2.6538888109999998</v>
      </c>
      <c r="B319">
        <v>0.13064147300000001</v>
      </c>
    </row>
    <row r="320" spans="1:2" x14ac:dyDescent="0.25">
      <c r="A320">
        <v>2.6638888110000001</v>
      </c>
      <c r="B320">
        <v>0.16372921100000001</v>
      </c>
    </row>
    <row r="321" spans="1:2" x14ac:dyDescent="0.25">
      <c r="A321">
        <v>2.6738888109999999</v>
      </c>
      <c r="B321">
        <v>0.188114853</v>
      </c>
    </row>
    <row r="322" spans="1:2" x14ac:dyDescent="0.25">
      <c r="A322">
        <v>2.6838888110000001</v>
      </c>
      <c r="B322">
        <v>0.19437568599999999</v>
      </c>
    </row>
    <row r="323" spans="1:2" x14ac:dyDescent="0.25">
      <c r="A323">
        <v>2.6938888109999999</v>
      </c>
      <c r="B323">
        <v>0.181403755</v>
      </c>
    </row>
    <row r="324" spans="1:2" x14ac:dyDescent="0.25">
      <c r="A324">
        <v>2.7038888110000001</v>
      </c>
      <c r="B324">
        <v>0.167813396</v>
      </c>
    </row>
    <row r="325" spans="1:2" x14ac:dyDescent="0.25">
      <c r="A325">
        <v>2.7138888109999999</v>
      </c>
      <c r="B325">
        <v>0.15224048300000001</v>
      </c>
    </row>
    <row r="326" spans="1:2" x14ac:dyDescent="0.25">
      <c r="A326">
        <v>2.7238888110000001</v>
      </c>
      <c r="B326">
        <v>0.14845398300000001</v>
      </c>
    </row>
    <row r="327" spans="1:2" x14ac:dyDescent="0.25">
      <c r="A327">
        <v>2.7338888109999999</v>
      </c>
      <c r="B327">
        <v>0.15012261299999999</v>
      </c>
    </row>
    <row r="328" spans="1:2" x14ac:dyDescent="0.25">
      <c r="A328">
        <v>2.7438888110000001</v>
      </c>
      <c r="B328">
        <v>0.18267140000000001</v>
      </c>
    </row>
    <row r="329" spans="1:2" x14ac:dyDescent="0.25">
      <c r="A329">
        <v>2.7538888109999999</v>
      </c>
      <c r="B329">
        <v>0.20949540999999999</v>
      </c>
    </row>
    <row r="330" spans="1:2" x14ac:dyDescent="0.25">
      <c r="A330">
        <v>2.7638888110000002</v>
      </c>
      <c r="B330">
        <v>0.197355532</v>
      </c>
    </row>
    <row r="331" spans="1:2" x14ac:dyDescent="0.25">
      <c r="A331">
        <v>2.773888811</v>
      </c>
      <c r="B331">
        <v>0.14354088100000001</v>
      </c>
    </row>
    <row r="332" spans="1:2" x14ac:dyDescent="0.25">
      <c r="A332">
        <v>2.7838888110000002</v>
      </c>
      <c r="B332">
        <v>0.106119689</v>
      </c>
    </row>
    <row r="333" spans="1:2" x14ac:dyDescent="0.25">
      <c r="A333">
        <v>2.793888811</v>
      </c>
      <c r="B333">
        <v>8.3471877E-2</v>
      </c>
    </row>
    <row r="334" spans="1:2" x14ac:dyDescent="0.25">
      <c r="A334">
        <v>2.8038888110000002</v>
      </c>
      <c r="B334">
        <v>6.8148420000000001E-2</v>
      </c>
    </row>
    <row r="335" spans="1:2" x14ac:dyDescent="0.25">
      <c r="A335">
        <v>2.813888811</v>
      </c>
      <c r="B335">
        <v>4.0424109999999999E-2</v>
      </c>
    </row>
    <row r="336" spans="1:2" x14ac:dyDescent="0.25">
      <c r="A336">
        <v>2.8238888110000002</v>
      </c>
      <c r="B336">
        <v>4.149748E-3</v>
      </c>
    </row>
    <row r="337" spans="1:2" x14ac:dyDescent="0.25">
      <c r="A337">
        <v>2.833888811</v>
      </c>
      <c r="B337">
        <v>-3.9182347999999999E-2</v>
      </c>
    </row>
    <row r="338" spans="1:2" x14ac:dyDescent="0.25">
      <c r="A338">
        <v>2.8438888109999998</v>
      </c>
      <c r="B338">
        <v>-9.2421844000000003E-2</v>
      </c>
    </row>
    <row r="339" spans="1:2" x14ac:dyDescent="0.25">
      <c r="A339">
        <v>2.853888811</v>
      </c>
      <c r="B339">
        <v>-0.13857125100000001</v>
      </c>
    </row>
    <row r="340" spans="1:2" x14ac:dyDescent="0.25">
      <c r="A340">
        <v>2.8638888109999998</v>
      </c>
      <c r="B340">
        <v>-0.17043978400000001</v>
      </c>
    </row>
    <row r="341" spans="1:2" x14ac:dyDescent="0.25">
      <c r="A341">
        <v>2.873888811</v>
      </c>
      <c r="B341">
        <v>-0.18245240900000001</v>
      </c>
    </row>
    <row r="342" spans="1:2" x14ac:dyDescent="0.25">
      <c r="A342">
        <v>2.8838888109999998</v>
      </c>
      <c r="B342">
        <v>-0.17362597399999999</v>
      </c>
    </row>
    <row r="343" spans="1:2" x14ac:dyDescent="0.25">
      <c r="A343">
        <v>2.8938888110000001</v>
      </c>
      <c r="B343">
        <v>-0.16245149</v>
      </c>
    </row>
    <row r="344" spans="1:2" x14ac:dyDescent="0.25">
      <c r="A344">
        <v>2.9038888109999998</v>
      </c>
      <c r="B344">
        <v>-0.17286906399999999</v>
      </c>
    </row>
    <row r="345" spans="1:2" x14ac:dyDescent="0.25">
      <c r="A345">
        <v>2.9138888110000001</v>
      </c>
      <c r="B345">
        <v>-0.19755060099999999</v>
      </c>
    </row>
    <row r="346" spans="1:2" x14ac:dyDescent="0.25">
      <c r="A346">
        <v>2.9238888109999999</v>
      </c>
      <c r="B346">
        <v>-0.220364804</v>
      </c>
    </row>
    <row r="347" spans="1:2" x14ac:dyDescent="0.25">
      <c r="A347">
        <v>2.9338888110000001</v>
      </c>
      <c r="B347">
        <v>-0.232133848</v>
      </c>
    </row>
    <row r="348" spans="1:2" x14ac:dyDescent="0.25">
      <c r="A348">
        <v>2.9438888109999999</v>
      </c>
      <c r="B348">
        <v>-0.24365400700000001</v>
      </c>
    </row>
    <row r="349" spans="1:2" x14ac:dyDescent="0.25">
      <c r="A349">
        <v>2.9538888110000001</v>
      </c>
      <c r="B349">
        <v>-0.236319901</v>
      </c>
    </row>
    <row r="350" spans="1:2" x14ac:dyDescent="0.25">
      <c r="A350">
        <v>2.9638888109999999</v>
      </c>
      <c r="B350">
        <v>-0.22527264</v>
      </c>
    </row>
    <row r="351" spans="1:2" x14ac:dyDescent="0.25">
      <c r="A351">
        <v>2.9738888110000001</v>
      </c>
      <c r="B351">
        <v>-0.20183132500000001</v>
      </c>
    </row>
    <row r="352" spans="1:2" x14ac:dyDescent="0.25">
      <c r="A352">
        <v>2.9838888109999999</v>
      </c>
      <c r="B352">
        <v>-0.18051387499999999</v>
      </c>
    </row>
    <row r="353" spans="1:2" x14ac:dyDescent="0.25">
      <c r="A353">
        <v>2.9938888110000001</v>
      </c>
      <c r="B353">
        <v>-0.156357783</v>
      </c>
    </row>
    <row r="354" spans="1:2" x14ac:dyDescent="0.25">
      <c r="A354">
        <v>3.0038888109999999</v>
      </c>
      <c r="B354">
        <v>-0.13941125400000001</v>
      </c>
    </row>
    <row r="355" spans="1:2" x14ac:dyDescent="0.25">
      <c r="A355">
        <v>3.0138888110000002</v>
      </c>
      <c r="B355">
        <v>-0.128058437</v>
      </c>
    </row>
    <row r="356" spans="1:2" x14ac:dyDescent="0.25">
      <c r="A356">
        <v>3.023888811</v>
      </c>
      <c r="B356">
        <v>-0.120932314</v>
      </c>
    </row>
    <row r="357" spans="1:2" x14ac:dyDescent="0.25">
      <c r="A357">
        <v>3.0338888110000002</v>
      </c>
      <c r="B357">
        <v>-9.9673479999999995E-2</v>
      </c>
    </row>
    <row r="358" spans="1:2" x14ac:dyDescent="0.25">
      <c r="A358">
        <v>3.043888811</v>
      </c>
      <c r="B358">
        <v>-6.8381585999999994E-2</v>
      </c>
    </row>
    <row r="359" spans="1:2" x14ac:dyDescent="0.25">
      <c r="A359">
        <v>3.0538888110000002</v>
      </c>
      <c r="B359">
        <v>-4.9635831999999998E-2</v>
      </c>
    </row>
    <row r="360" spans="1:2" x14ac:dyDescent="0.25">
      <c r="A360">
        <v>3.063888811</v>
      </c>
      <c r="B360">
        <v>-2.8918102000000001E-2</v>
      </c>
    </row>
    <row r="361" spans="1:2" x14ac:dyDescent="0.25">
      <c r="A361">
        <v>3.0738888110000002</v>
      </c>
      <c r="B361">
        <v>-2.5082810000000001E-2</v>
      </c>
    </row>
    <row r="362" spans="1:2" x14ac:dyDescent="0.25">
      <c r="A362">
        <v>3.083888811</v>
      </c>
      <c r="B362">
        <v>-1.2570614000000001E-2</v>
      </c>
    </row>
    <row r="363" spans="1:2" x14ac:dyDescent="0.25">
      <c r="A363">
        <v>3.0938888109999998</v>
      </c>
      <c r="B363">
        <v>-7.1381170000000002E-3</v>
      </c>
    </row>
    <row r="364" spans="1:2" x14ac:dyDescent="0.25">
      <c r="A364">
        <v>3.103888811</v>
      </c>
      <c r="B364">
        <v>1.0691722000000001E-2</v>
      </c>
    </row>
    <row r="365" spans="1:2" x14ac:dyDescent="0.25">
      <c r="A365">
        <v>3.1138888109999998</v>
      </c>
      <c r="B365">
        <v>3.9796922999999998E-2</v>
      </c>
    </row>
    <row r="366" spans="1:2" x14ac:dyDescent="0.25">
      <c r="A366">
        <v>3.123888811</v>
      </c>
      <c r="B366">
        <v>4.7550738000000002E-2</v>
      </c>
    </row>
    <row r="367" spans="1:2" x14ac:dyDescent="0.25">
      <c r="A367">
        <v>3.1338888109999998</v>
      </c>
      <c r="B367">
        <v>5.3064667000000003E-2</v>
      </c>
    </row>
    <row r="368" spans="1:2" x14ac:dyDescent="0.25">
      <c r="A368">
        <v>3.1438888110000001</v>
      </c>
      <c r="B368">
        <v>3.5377577E-2</v>
      </c>
    </row>
    <row r="369" spans="1:2" x14ac:dyDescent="0.25">
      <c r="A369">
        <v>3.1538888109999998</v>
      </c>
      <c r="B369">
        <v>1.6702682999999999E-2</v>
      </c>
    </row>
    <row r="370" spans="1:2" x14ac:dyDescent="0.25">
      <c r="A370">
        <v>3.1638888110000001</v>
      </c>
      <c r="B370">
        <v>-1.052582E-2</v>
      </c>
    </row>
    <row r="371" spans="1:2" x14ac:dyDescent="0.25">
      <c r="A371">
        <v>3.1738888109999999</v>
      </c>
      <c r="B371">
        <v>-3.2660003999999999E-2</v>
      </c>
    </row>
    <row r="372" spans="1:2" x14ac:dyDescent="0.25">
      <c r="A372">
        <v>3.1838888110000001</v>
      </c>
      <c r="B372">
        <v>-5.3299305999999998E-2</v>
      </c>
    </row>
    <row r="373" spans="1:2" x14ac:dyDescent="0.25">
      <c r="A373">
        <v>3.1938888109999999</v>
      </c>
      <c r="B373">
        <v>-5.5451419000000002E-2</v>
      </c>
    </row>
    <row r="374" spans="1:2" x14ac:dyDescent="0.25">
      <c r="A374">
        <v>3.2038888110000001</v>
      </c>
      <c r="B374">
        <v>-7.7700234000000007E-2</v>
      </c>
    </row>
    <row r="375" spans="1:2" x14ac:dyDescent="0.25">
      <c r="A375">
        <v>3.2138888109999999</v>
      </c>
      <c r="B375">
        <v>-9.1011958000000004E-2</v>
      </c>
    </row>
    <row r="376" spans="1:2" x14ac:dyDescent="0.25">
      <c r="A376">
        <v>3.2238888110000001</v>
      </c>
      <c r="B376">
        <v>-0.109158782</v>
      </c>
    </row>
    <row r="377" spans="1:2" x14ac:dyDescent="0.25">
      <c r="A377">
        <v>3.2338888109999999</v>
      </c>
      <c r="B377">
        <v>-0.130277952</v>
      </c>
    </row>
    <row r="378" spans="1:2" x14ac:dyDescent="0.25">
      <c r="A378">
        <v>3.2438888110000001</v>
      </c>
      <c r="B378">
        <v>-0.14295675599999999</v>
      </c>
    </row>
    <row r="379" spans="1:2" x14ac:dyDescent="0.25">
      <c r="A379">
        <v>3.2538888109999999</v>
      </c>
      <c r="B379">
        <v>-0.14781927</v>
      </c>
    </row>
    <row r="380" spans="1:2" x14ac:dyDescent="0.25">
      <c r="A380">
        <v>3.2638888110000002</v>
      </c>
      <c r="B380">
        <v>-0.158141003</v>
      </c>
    </row>
    <row r="381" spans="1:2" x14ac:dyDescent="0.25">
      <c r="A381">
        <v>3.273888811</v>
      </c>
      <c r="B381">
        <v>-0.154941842</v>
      </c>
    </row>
    <row r="382" spans="1:2" x14ac:dyDescent="0.25">
      <c r="A382">
        <v>3.2838888110000002</v>
      </c>
      <c r="B382">
        <v>-0.164399716</v>
      </c>
    </row>
    <row r="383" spans="1:2" x14ac:dyDescent="0.25">
      <c r="A383">
        <v>3.293888811</v>
      </c>
      <c r="B383">
        <v>-0.16815137899999999</v>
      </c>
    </row>
    <row r="384" spans="1:2" x14ac:dyDescent="0.25">
      <c r="A384">
        <v>3.3038888110000002</v>
      </c>
      <c r="B384">
        <v>-0.17091284100000001</v>
      </c>
    </row>
    <row r="385" spans="1:2" x14ac:dyDescent="0.25">
      <c r="A385">
        <v>3.313888811</v>
      </c>
      <c r="B385">
        <v>-0.16152124800000001</v>
      </c>
    </row>
    <row r="386" spans="1:2" x14ac:dyDescent="0.25">
      <c r="A386">
        <v>3.3238888110000002</v>
      </c>
      <c r="B386">
        <v>-0.13799756699999999</v>
      </c>
    </row>
    <row r="387" spans="1:2" x14ac:dyDescent="0.25">
      <c r="A387">
        <v>3.333888811</v>
      </c>
      <c r="B387">
        <v>-0.114984559</v>
      </c>
    </row>
    <row r="388" spans="1:2" x14ac:dyDescent="0.25">
      <c r="A388">
        <v>3.3438888109999998</v>
      </c>
      <c r="B388">
        <v>-8.0326333999999999E-2</v>
      </c>
    </row>
    <row r="389" spans="1:2" x14ac:dyDescent="0.25">
      <c r="A389">
        <v>3.353888811</v>
      </c>
      <c r="B389">
        <v>-4.5687605999999999E-2</v>
      </c>
    </row>
    <row r="390" spans="1:2" x14ac:dyDescent="0.25">
      <c r="A390">
        <v>3.3638888109999998</v>
      </c>
      <c r="B390">
        <v>-7.5952499999999996E-3</v>
      </c>
    </row>
    <row r="391" spans="1:2" x14ac:dyDescent="0.25">
      <c r="A391">
        <v>3.373888811</v>
      </c>
      <c r="B391">
        <v>2.1049429000000001E-2</v>
      </c>
    </row>
    <row r="392" spans="1:2" x14ac:dyDescent="0.25">
      <c r="A392">
        <v>3.3838888109999998</v>
      </c>
      <c r="B392">
        <v>3.7398009000000003E-2</v>
      </c>
    </row>
    <row r="393" spans="1:2" x14ac:dyDescent="0.25">
      <c r="A393">
        <v>3.3938888110000001</v>
      </c>
      <c r="B393">
        <v>5.5844449999999997E-2</v>
      </c>
    </row>
    <row r="394" spans="1:2" x14ac:dyDescent="0.25">
      <c r="A394">
        <v>3.4038888109999998</v>
      </c>
      <c r="B394">
        <v>8.4450220000000006E-2</v>
      </c>
    </row>
    <row r="395" spans="1:2" x14ac:dyDescent="0.25">
      <c r="A395">
        <v>3.4138888110000001</v>
      </c>
      <c r="B395">
        <v>0.12606356399999999</v>
      </c>
    </row>
    <row r="396" spans="1:2" x14ac:dyDescent="0.25">
      <c r="A396">
        <v>3.4238888109999999</v>
      </c>
      <c r="B396">
        <v>0.15239823999999999</v>
      </c>
    </row>
    <row r="397" spans="1:2" x14ac:dyDescent="0.25">
      <c r="A397">
        <v>3.4338888110000001</v>
      </c>
      <c r="B397">
        <v>0.198067574</v>
      </c>
    </row>
    <row r="398" spans="1:2" x14ac:dyDescent="0.25">
      <c r="A398">
        <v>3.4438888109999999</v>
      </c>
      <c r="B398">
        <v>0.210099128</v>
      </c>
    </row>
    <row r="399" spans="1:2" x14ac:dyDescent="0.25">
      <c r="A399">
        <v>3.4538888110000001</v>
      </c>
      <c r="B399">
        <v>0.217657031</v>
      </c>
    </row>
    <row r="400" spans="1:2" x14ac:dyDescent="0.25">
      <c r="A400">
        <v>3.4638888109999999</v>
      </c>
      <c r="B400">
        <v>0.22892978899999999</v>
      </c>
    </row>
    <row r="401" spans="1:2" x14ac:dyDescent="0.25">
      <c r="A401">
        <v>3.4738888110000001</v>
      </c>
      <c r="B401">
        <v>0.24701664500000001</v>
      </c>
    </row>
    <row r="402" spans="1:2" x14ac:dyDescent="0.25">
      <c r="A402">
        <v>3.4838888109999999</v>
      </c>
      <c r="B402">
        <v>0.25318498</v>
      </c>
    </row>
    <row r="403" spans="1:2" x14ac:dyDescent="0.25">
      <c r="A403">
        <v>3.4938888110000001</v>
      </c>
      <c r="B403">
        <v>0.25661901500000001</v>
      </c>
    </row>
    <row r="404" spans="1:2" x14ac:dyDescent="0.25">
      <c r="A404">
        <v>3.5038888109999999</v>
      </c>
      <c r="B404">
        <v>0.24553654599999999</v>
      </c>
    </row>
    <row r="405" spans="1:2" x14ac:dyDescent="0.25">
      <c r="A405">
        <v>3.5138888110000002</v>
      </c>
      <c r="B405">
        <v>0.23023928199999999</v>
      </c>
    </row>
    <row r="406" spans="1:2" x14ac:dyDescent="0.25">
      <c r="A406">
        <v>3.523888811</v>
      </c>
      <c r="B406">
        <v>0.20055814</v>
      </c>
    </row>
    <row r="407" spans="1:2" x14ac:dyDescent="0.25">
      <c r="A407">
        <v>3.5338888110000002</v>
      </c>
      <c r="B407">
        <v>0.17436096300000001</v>
      </c>
    </row>
    <row r="408" spans="1:2" x14ac:dyDescent="0.25">
      <c r="A408">
        <v>3.543888811</v>
      </c>
      <c r="B408">
        <v>0.14742886099999999</v>
      </c>
    </row>
    <row r="409" spans="1:2" x14ac:dyDescent="0.25">
      <c r="A409">
        <v>3.5538888110000002</v>
      </c>
      <c r="B409">
        <v>0.12087845799999999</v>
      </c>
    </row>
    <row r="410" spans="1:2" x14ac:dyDescent="0.25">
      <c r="A410">
        <v>3.563888811</v>
      </c>
      <c r="B410">
        <v>0.10115944</v>
      </c>
    </row>
    <row r="411" spans="1:2" x14ac:dyDescent="0.25">
      <c r="A411">
        <v>3.5738888110000002</v>
      </c>
      <c r="B411">
        <v>7.5989008999999996E-2</v>
      </c>
    </row>
    <row r="412" spans="1:2" x14ac:dyDescent="0.25">
      <c r="A412">
        <v>3.583888811</v>
      </c>
      <c r="B412">
        <v>5.8393480999999997E-2</v>
      </c>
    </row>
    <row r="413" spans="1:2" x14ac:dyDescent="0.25">
      <c r="A413">
        <v>3.5938888109999998</v>
      </c>
      <c r="B413">
        <v>3.4353205999999997E-2</v>
      </c>
    </row>
    <row r="414" spans="1:2" x14ac:dyDescent="0.25">
      <c r="A414">
        <v>3.603888811</v>
      </c>
      <c r="B414">
        <v>-7.9123700000000002E-3</v>
      </c>
    </row>
    <row r="415" spans="1:2" x14ac:dyDescent="0.25">
      <c r="A415">
        <v>3.6138888109999998</v>
      </c>
      <c r="B415">
        <v>-5.5867233000000002E-2</v>
      </c>
    </row>
    <row r="416" spans="1:2" x14ac:dyDescent="0.25">
      <c r="A416">
        <v>3.623888811</v>
      </c>
      <c r="B416">
        <v>-8.3461155999999995E-2</v>
      </c>
    </row>
    <row r="417" spans="1:2" x14ac:dyDescent="0.25">
      <c r="A417">
        <v>3.6338888109999998</v>
      </c>
      <c r="B417">
        <v>-0.107944647</v>
      </c>
    </row>
    <row r="418" spans="1:2" x14ac:dyDescent="0.25">
      <c r="A418">
        <v>3.6438888110000001</v>
      </c>
      <c r="B418">
        <v>-0.120016423</v>
      </c>
    </row>
    <row r="419" spans="1:2" x14ac:dyDescent="0.25">
      <c r="A419">
        <v>3.6538888109999998</v>
      </c>
      <c r="B419">
        <v>-0.128116699</v>
      </c>
    </row>
    <row r="420" spans="1:2" x14ac:dyDescent="0.25">
      <c r="A420">
        <v>3.6638888110000001</v>
      </c>
      <c r="B420">
        <v>-0.146635555</v>
      </c>
    </row>
    <row r="421" spans="1:2" x14ac:dyDescent="0.25">
      <c r="A421">
        <v>3.6738888109999999</v>
      </c>
      <c r="B421">
        <v>-0.14641961100000001</v>
      </c>
    </row>
    <row r="422" spans="1:2" x14ac:dyDescent="0.25">
      <c r="A422">
        <v>3.6838888110000001</v>
      </c>
      <c r="B422">
        <v>-0.15811452200000001</v>
      </c>
    </row>
    <row r="423" spans="1:2" x14ac:dyDescent="0.25">
      <c r="A423">
        <v>3.6938888109999999</v>
      </c>
      <c r="B423">
        <v>-0.14921721600000001</v>
      </c>
    </row>
    <row r="424" spans="1:2" x14ac:dyDescent="0.25">
      <c r="A424">
        <v>3.7038888110000001</v>
      </c>
      <c r="B424">
        <v>-0.13673015599999999</v>
      </c>
    </row>
    <row r="425" spans="1:2" x14ac:dyDescent="0.25">
      <c r="A425">
        <v>3.7138888109999999</v>
      </c>
      <c r="B425">
        <v>-0.136159534</v>
      </c>
    </row>
    <row r="426" spans="1:2" x14ac:dyDescent="0.25">
      <c r="A426">
        <v>3.7238888110000001</v>
      </c>
      <c r="B426">
        <v>-0.12145215500000001</v>
      </c>
    </row>
    <row r="427" spans="1:2" x14ac:dyDescent="0.25">
      <c r="A427">
        <v>3.7338888109999999</v>
      </c>
      <c r="B427">
        <v>-0.120274651</v>
      </c>
    </row>
    <row r="428" spans="1:2" x14ac:dyDescent="0.25">
      <c r="A428">
        <v>3.7438888110000001</v>
      </c>
      <c r="B428">
        <v>-0.123814178</v>
      </c>
    </row>
    <row r="429" spans="1:2" x14ac:dyDescent="0.25">
      <c r="A429">
        <v>3.7538888109999999</v>
      </c>
      <c r="B429">
        <v>-0.13665791499999999</v>
      </c>
    </row>
    <row r="430" spans="1:2" x14ac:dyDescent="0.25">
      <c r="A430">
        <v>3.7638888110000002</v>
      </c>
      <c r="B430">
        <v>-0.13635095899999999</v>
      </c>
    </row>
    <row r="431" spans="1:2" x14ac:dyDescent="0.25">
      <c r="A431">
        <v>3.773888811</v>
      </c>
      <c r="B431">
        <v>-0.123643568</v>
      </c>
    </row>
    <row r="432" spans="1:2" x14ac:dyDescent="0.25">
      <c r="A432">
        <v>3.7838888110000002</v>
      </c>
      <c r="B432">
        <v>-9.6804894000000002E-2</v>
      </c>
    </row>
    <row r="433" spans="1:2" x14ac:dyDescent="0.25">
      <c r="A433">
        <v>3.793888811</v>
      </c>
      <c r="B433">
        <v>-7.2090169999999995E-2</v>
      </c>
    </row>
    <row r="434" spans="1:2" x14ac:dyDescent="0.25">
      <c r="A434">
        <v>3.8038888110000002</v>
      </c>
      <c r="B434">
        <v>-5.0614682000000001E-2</v>
      </c>
    </row>
    <row r="435" spans="1:2" x14ac:dyDescent="0.25">
      <c r="A435">
        <v>3.813888811</v>
      </c>
      <c r="B435">
        <v>-3.4857616000000001E-2</v>
      </c>
    </row>
    <row r="436" spans="1:2" x14ac:dyDescent="0.25">
      <c r="A436">
        <v>3.8238888110000002</v>
      </c>
      <c r="B436">
        <v>-1.1296298999999999E-2</v>
      </c>
    </row>
    <row r="437" spans="1:2" x14ac:dyDescent="0.25">
      <c r="A437">
        <v>3.833888811</v>
      </c>
      <c r="B437">
        <v>2.8246460000000001E-3</v>
      </c>
    </row>
    <row r="438" spans="1:2" x14ac:dyDescent="0.25">
      <c r="A438">
        <v>3.8438888109999998</v>
      </c>
      <c r="B438">
        <v>2.3634367999999999E-2</v>
      </c>
    </row>
    <row r="439" spans="1:2" x14ac:dyDescent="0.25">
      <c r="A439">
        <v>3.853888811</v>
      </c>
      <c r="B439">
        <v>4.0462695E-2</v>
      </c>
    </row>
    <row r="440" spans="1:2" x14ac:dyDescent="0.25">
      <c r="A440">
        <v>3.8638888109999998</v>
      </c>
      <c r="B440">
        <v>5.2319210999999997E-2</v>
      </c>
    </row>
    <row r="441" spans="1:2" x14ac:dyDescent="0.25">
      <c r="A441">
        <v>3.873888811</v>
      </c>
      <c r="B441">
        <v>6.7764771000000001E-2</v>
      </c>
    </row>
    <row r="442" spans="1:2" x14ac:dyDescent="0.25">
      <c r="A442">
        <v>3.8838888109999998</v>
      </c>
      <c r="B442">
        <v>7.1293185999999995E-2</v>
      </c>
    </row>
    <row r="443" spans="1:2" x14ac:dyDescent="0.25">
      <c r="A443">
        <v>3.8938888110000001</v>
      </c>
      <c r="B443">
        <v>6.2785920999999995E-2</v>
      </c>
    </row>
    <row r="444" spans="1:2" x14ac:dyDescent="0.25">
      <c r="A444">
        <v>3.9038888109999998</v>
      </c>
      <c r="B444">
        <v>6.0109785999999998E-2</v>
      </c>
    </row>
    <row r="445" spans="1:2" x14ac:dyDescent="0.25">
      <c r="A445">
        <v>3.9138888110000001</v>
      </c>
      <c r="B445">
        <v>4.2796055999999999E-2</v>
      </c>
    </row>
    <row r="446" spans="1:2" x14ac:dyDescent="0.25">
      <c r="A446">
        <v>3.9238888109999999</v>
      </c>
      <c r="B446">
        <v>3.1069415E-2</v>
      </c>
    </row>
    <row r="447" spans="1:2" x14ac:dyDescent="0.25">
      <c r="A447">
        <v>3.9338888110000001</v>
      </c>
      <c r="B447">
        <v>2.4183059999999999E-2</v>
      </c>
    </row>
    <row r="448" spans="1:2" x14ac:dyDescent="0.25">
      <c r="A448">
        <v>3.9438888109999999</v>
      </c>
      <c r="B448">
        <v>1.9157879999999999E-2</v>
      </c>
    </row>
    <row r="449" spans="1:2" x14ac:dyDescent="0.25">
      <c r="A449">
        <v>3.9538888110000001</v>
      </c>
      <c r="B449">
        <v>9.0469690000000002E-3</v>
      </c>
    </row>
    <row r="450" spans="1:2" x14ac:dyDescent="0.25">
      <c r="A450">
        <v>3.9638888109999999</v>
      </c>
      <c r="B450">
        <v>-9.6203699999999996E-3</v>
      </c>
    </row>
    <row r="451" spans="1:2" x14ac:dyDescent="0.25">
      <c r="A451">
        <v>3.9738888110000001</v>
      </c>
      <c r="B451">
        <v>-2.6669221E-2</v>
      </c>
    </row>
    <row r="452" spans="1:2" x14ac:dyDescent="0.25">
      <c r="A452">
        <v>3.9838888109999999</v>
      </c>
      <c r="B452">
        <v>-5.1155027999999998E-2</v>
      </c>
    </row>
    <row r="453" spans="1:2" x14ac:dyDescent="0.25">
      <c r="A453">
        <v>3.9938888110000001</v>
      </c>
      <c r="B453">
        <v>-7.4887991000000001E-2</v>
      </c>
    </row>
    <row r="454" spans="1:2" x14ac:dyDescent="0.25">
      <c r="A454">
        <v>4.0038888110000004</v>
      </c>
      <c r="B454">
        <v>-6.9712174000000002E-2</v>
      </c>
    </row>
    <row r="455" spans="1:2" x14ac:dyDescent="0.25">
      <c r="A455">
        <v>4.0138888110000002</v>
      </c>
      <c r="B455">
        <v>-8.5255515000000004E-2</v>
      </c>
    </row>
    <row r="456" spans="1:2" x14ac:dyDescent="0.25">
      <c r="A456">
        <v>4.023888811</v>
      </c>
      <c r="B456">
        <v>-8.4421544000000001E-2</v>
      </c>
    </row>
    <row r="457" spans="1:2" x14ac:dyDescent="0.25">
      <c r="A457">
        <v>4.0338888109999997</v>
      </c>
      <c r="B457">
        <v>-8.4582911999999996E-2</v>
      </c>
    </row>
    <row r="458" spans="1:2" x14ac:dyDescent="0.25">
      <c r="A458">
        <v>4.0438888110000004</v>
      </c>
      <c r="B458">
        <v>-0.10446868500000001</v>
      </c>
    </row>
    <row r="459" spans="1:2" x14ac:dyDescent="0.25">
      <c r="A459">
        <v>4.0538888110000002</v>
      </c>
      <c r="B459">
        <v>-0.127448904</v>
      </c>
    </row>
    <row r="460" spans="1:2" x14ac:dyDescent="0.25">
      <c r="A460">
        <v>4.063888811</v>
      </c>
      <c r="B460">
        <v>-0.13045136600000001</v>
      </c>
    </row>
    <row r="461" spans="1:2" x14ac:dyDescent="0.25">
      <c r="A461">
        <v>4.0738888109999998</v>
      </c>
      <c r="B461">
        <v>-0.137176257</v>
      </c>
    </row>
    <row r="462" spans="1:2" x14ac:dyDescent="0.25">
      <c r="A462">
        <v>4.0838888109999996</v>
      </c>
      <c r="B462">
        <v>-0.14377672799999999</v>
      </c>
    </row>
    <row r="463" spans="1:2" x14ac:dyDescent="0.25">
      <c r="A463">
        <v>4.0938888110000002</v>
      </c>
      <c r="B463">
        <v>-0.130531013</v>
      </c>
    </row>
    <row r="464" spans="1:2" x14ac:dyDescent="0.25">
      <c r="A464">
        <v>4.103888811</v>
      </c>
      <c r="B464">
        <v>-0.13664378399999999</v>
      </c>
    </row>
    <row r="465" spans="1:2" x14ac:dyDescent="0.25">
      <c r="A465">
        <v>4.1138888109999998</v>
      </c>
      <c r="B465">
        <v>-0.13866320700000001</v>
      </c>
    </row>
    <row r="466" spans="1:2" x14ac:dyDescent="0.25">
      <c r="A466">
        <v>4.1238888109999996</v>
      </c>
      <c r="B466">
        <v>-0.13274602099999999</v>
      </c>
    </row>
    <row r="467" spans="1:2" x14ac:dyDescent="0.25">
      <c r="A467">
        <v>4.1338888110000003</v>
      </c>
      <c r="B467">
        <v>-0.110337327</v>
      </c>
    </row>
    <row r="468" spans="1:2" x14ac:dyDescent="0.25">
      <c r="A468">
        <v>4.1438888110000001</v>
      </c>
      <c r="B468">
        <v>-8.5088682999999998E-2</v>
      </c>
    </row>
    <row r="469" spans="1:2" x14ac:dyDescent="0.25">
      <c r="A469">
        <v>4.1538888109999998</v>
      </c>
      <c r="B469">
        <v>-5.2411977999999998E-2</v>
      </c>
    </row>
    <row r="470" spans="1:2" x14ac:dyDescent="0.25">
      <c r="A470">
        <v>4.1638888109999996</v>
      </c>
      <c r="B470">
        <v>-1.2930731000000001E-2</v>
      </c>
    </row>
    <row r="471" spans="1:2" x14ac:dyDescent="0.25">
      <c r="A471">
        <v>4.1738888110000003</v>
      </c>
      <c r="B471">
        <v>2.2808905000000001E-2</v>
      </c>
    </row>
    <row r="472" spans="1:2" x14ac:dyDescent="0.25">
      <c r="A472">
        <v>4.1838888110000001</v>
      </c>
      <c r="B472">
        <v>5.7661579999999997E-2</v>
      </c>
    </row>
    <row r="473" spans="1:2" x14ac:dyDescent="0.25">
      <c r="A473">
        <v>4.1938888109999999</v>
      </c>
      <c r="B473">
        <v>7.7983754000000002E-2</v>
      </c>
    </row>
    <row r="474" spans="1:2" x14ac:dyDescent="0.25">
      <c r="A474">
        <v>4.2038888109999997</v>
      </c>
      <c r="B474">
        <v>9.6681976000000003E-2</v>
      </c>
    </row>
    <row r="475" spans="1:2" x14ac:dyDescent="0.25">
      <c r="A475">
        <v>4.2138888110000003</v>
      </c>
      <c r="B475">
        <v>0.12454823199999999</v>
      </c>
    </row>
    <row r="476" spans="1:2" x14ac:dyDescent="0.25">
      <c r="A476">
        <v>4.2238888110000001</v>
      </c>
      <c r="B476">
        <v>0.15959378399999999</v>
      </c>
    </row>
    <row r="477" spans="1:2" x14ac:dyDescent="0.25">
      <c r="A477">
        <v>4.2338888109999999</v>
      </c>
      <c r="B477">
        <v>0.17353505499999999</v>
      </c>
    </row>
    <row r="478" spans="1:2" x14ac:dyDescent="0.25">
      <c r="A478">
        <v>4.2438888109999997</v>
      </c>
      <c r="B478">
        <v>0.18684784099999999</v>
      </c>
    </row>
    <row r="479" spans="1:2" x14ac:dyDescent="0.25">
      <c r="A479">
        <v>4.2538888110000004</v>
      </c>
      <c r="B479">
        <v>0.18117504400000001</v>
      </c>
    </row>
    <row r="480" spans="1:2" x14ac:dyDescent="0.25">
      <c r="A480">
        <v>4.2638888110000002</v>
      </c>
      <c r="B480">
        <v>0.17265016</v>
      </c>
    </row>
    <row r="481" spans="1:2" x14ac:dyDescent="0.25">
      <c r="A481">
        <v>4.273888811</v>
      </c>
      <c r="B481">
        <v>0.16884072899999999</v>
      </c>
    </row>
    <row r="482" spans="1:2" x14ac:dyDescent="0.25">
      <c r="A482">
        <v>4.2838888109999997</v>
      </c>
      <c r="B482">
        <v>0.16751192000000001</v>
      </c>
    </row>
    <row r="483" spans="1:2" x14ac:dyDescent="0.25">
      <c r="A483">
        <v>4.2938888110000004</v>
      </c>
      <c r="B483">
        <v>0.15365416400000001</v>
      </c>
    </row>
    <row r="484" spans="1:2" x14ac:dyDescent="0.25">
      <c r="A484">
        <v>4.3038888110000002</v>
      </c>
      <c r="B484">
        <v>0.13632788100000001</v>
      </c>
    </row>
    <row r="485" spans="1:2" x14ac:dyDescent="0.25">
      <c r="A485">
        <v>4.313888811</v>
      </c>
      <c r="B485">
        <v>0.12458931500000001</v>
      </c>
    </row>
    <row r="486" spans="1:2" x14ac:dyDescent="0.25">
      <c r="A486">
        <v>4.3238888109999998</v>
      </c>
      <c r="B486">
        <v>0.114590741</v>
      </c>
    </row>
    <row r="487" spans="1:2" x14ac:dyDescent="0.25">
      <c r="A487">
        <v>4.3338888109999996</v>
      </c>
      <c r="B487">
        <v>9.3307500000000002E-2</v>
      </c>
    </row>
    <row r="488" spans="1:2" x14ac:dyDescent="0.25">
      <c r="A488">
        <v>4.3438888110000002</v>
      </c>
      <c r="B488">
        <v>7.0171532999999994E-2</v>
      </c>
    </row>
    <row r="489" spans="1:2" x14ac:dyDescent="0.25">
      <c r="A489">
        <v>4.353888811</v>
      </c>
      <c r="B489">
        <v>5.8579610999999997E-2</v>
      </c>
    </row>
    <row r="490" spans="1:2" x14ac:dyDescent="0.25">
      <c r="A490">
        <v>4.3638888109999998</v>
      </c>
      <c r="B490">
        <v>5.1952465000000003E-2</v>
      </c>
    </row>
    <row r="491" spans="1:2" x14ac:dyDescent="0.25">
      <c r="A491">
        <v>4.3738888109999996</v>
      </c>
      <c r="B491">
        <v>4.2473497999999998E-2</v>
      </c>
    </row>
    <row r="492" spans="1:2" x14ac:dyDescent="0.25">
      <c r="A492">
        <v>4.3838888110000003</v>
      </c>
      <c r="B492">
        <v>3.0144008999999999E-2</v>
      </c>
    </row>
    <row r="493" spans="1:2" x14ac:dyDescent="0.25">
      <c r="A493">
        <v>4.3938888110000001</v>
      </c>
      <c r="B493">
        <v>2.1043091999999999E-2</v>
      </c>
    </row>
    <row r="494" spans="1:2" x14ac:dyDescent="0.25">
      <c r="A494">
        <v>4.4038888109999998</v>
      </c>
      <c r="B494">
        <v>1.3184662999999999E-2</v>
      </c>
    </row>
    <row r="495" spans="1:2" x14ac:dyDescent="0.25">
      <c r="A495">
        <v>4.4138888109999996</v>
      </c>
      <c r="B495" s="186">
        <v>-5.8000000000000004E-6</v>
      </c>
    </row>
    <row r="496" spans="1:2" x14ac:dyDescent="0.25">
      <c r="A496">
        <v>4.4238888110000003</v>
      </c>
      <c r="B496">
        <v>-2.6491650000000002E-3</v>
      </c>
    </row>
    <row r="497" spans="1:2" x14ac:dyDescent="0.25">
      <c r="A497">
        <v>4.4338888110000001</v>
      </c>
      <c r="B497">
        <v>-2.3154679000000001E-2</v>
      </c>
    </row>
    <row r="498" spans="1:2" x14ac:dyDescent="0.25">
      <c r="A498">
        <v>4.4438888109999999</v>
      </c>
      <c r="B498">
        <v>-4.3156732000000003E-2</v>
      </c>
    </row>
    <row r="499" spans="1:2" x14ac:dyDescent="0.25">
      <c r="A499">
        <v>4.4538888109999997</v>
      </c>
      <c r="B499">
        <v>-4.3553942999999998E-2</v>
      </c>
    </row>
    <row r="500" spans="1:2" x14ac:dyDescent="0.25">
      <c r="A500">
        <v>4.4638888110000003</v>
      </c>
      <c r="B500">
        <v>-4.5813663999999997E-2</v>
      </c>
    </row>
    <row r="501" spans="1:2" x14ac:dyDescent="0.25">
      <c r="A501">
        <v>4.4738888110000001</v>
      </c>
      <c r="B501">
        <v>-5.3408059000000001E-2</v>
      </c>
    </row>
    <row r="502" spans="1:2" x14ac:dyDescent="0.25">
      <c r="A502">
        <v>4.4838888109999999</v>
      </c>
      <c r="B502">
        <v>-6.4474130000000004E-2</v>
      </c>
    </row>
    <row r="503" spans="1:2" x14ac:dyDescent="0.25">
      <c r="A503">
        <v>4.4938888109999997</v>
      </c>
      <c r="B503">
        <v>-6.1397090000000001E-2</v>
      </c>
    </row>
    <row r="504" spans="1:2" x14ac:dyDescent="0.25">
      <c r="A504">
        <v>4.5038888110000004</v>
      </c>
      <c r="B504">
        <v>-5.3610214000000003E-2</v>
      </c>
    </row>
    <row r="505" spans="1:2" x14ac:dyDescent="0.25">
      <c r="A505">
        <v>4.5138888110000002</v>
      </c>
      <c r="B505">
        <v>-3.2309042000000003E-2</v>
      </c>
    </row>
    <row r="506" spans="1:2" x14ac:dyDescent="0.25">
      <c r="A506">
        <v>4.523888811</v>
      </c>
      <c r="B506">
        <v>-2.5780094E-2</v>
      </c>
    </row>
    <row r="507" spans="1:2" x14ac:dyDescent="0.25">
      <c r="A507">
        <v>4.5338888109999997</v>
      </c>
      <c r="B507">
        <v>-5.1160110000000002E-3</v>
      </c>
    </row>
    <row r="508" spans="1:2" x14ac:dyDescent="0.25">
      <c r="A508">
        <v>4.5438888110000004</v>
      </c>
      <c r="B508">
        <v>1.1567404999999999E-2</v>
      </c>
    </row>
    <row r="509" spans="1:2" x14ac:dyDescent="0.25">
      <c r="A509">
        <v>4.5538888110000002</v>
      </c>
      <c r="B509">
        <v>2.5264324000000001E-2</v>
      </c>
    </row>
    <row r="510" spans="1:2" x14ac:dyDescent="0.25">
      <c r="A510">
        <v>4.563888811</v>
      </c>
      <c r="B510">
        <v>4.0317438999999997E-2</v>
      </c>
    </row>
    <row r="511" spans="1:2" x14ac:dyDescent="0.25">
      <c r="A511">
        <v>4.5738888109999998</v>
      </c>
      <c r="B511">
        <v>4.6059014000000002E-2</v>
      </c>
    </row>
    <row r="512" spans="1:2" x14ac:dyDescent="0.25">
      <c r="A512">
        <v>4.5838888109999996</v>
      </c>
      <c r="B512">
        <v>5.9114266999999998E-2</v>
      </c>
    </row>
    <row r="513" spans="1:2" x14ac:dyDescent="0.25">
      <c r="A513">
        <v>4.5938888110000002</v>
      </c>
      <c r="B513">
        <v>5.3804280000000003E-2</v>
      </c>
    </row>
    <row r="514" spans="1:2" x14ac:dyDescent="0.25">
      <c r="A514">
        <v>4.603888811</v>
      </c>
      <c r="B514">
        <v>6.5487947000000005E-2</v>
      </c>
    </row>
    <row r="515" spans="1:2" x14ac:dyDescent="0.25">
      <c r="A515">
        <v>4.6138888109999998</v>
      </c>
      <c r="B515">
        <v>6.1535841000000001E-2</v>
      </c>
    </row>
    <row r="516" spans="1:2" x14ac:dyDescent="0.25">
      <c r="A516">
        <v>4.6238888109999996</v>
      </c>
      <c r="B516">
        <v>5.299442E-2</v>
      </c>
    </row>
    <row r="517" spans="1:2" x14ac:dyDescent="0.25">
      <c r="A517">
        <v>4.6338888110000003</v>
      </c>
      <c r="B517">
        <v>5.0532937E-2</v>
      </c>
    </row>
    <row r="518" spans="1:2" x14ac:dyDescent="0.25">
      <c r="A518">
        <v>4.6438888110000001</v>
      </c>
      <c r="B518">
        <v>4.7078507999999998E-2</v>
      </c>
    </row>
    <row r="519" spans="1:2" x14ac:dyDescent="0.25">
      <c r="A519">
        <v>4.6538888109999998</v>
      </c>
      <c r="B519">
        <v>2.6506828E-2</v>
      </c>
    </row>
    <row r="520" spans="1:2" x14ac:dyDescent="0.25">
      <c r="A520">
        <v>4.6638888109999996</v>
      </c>
      <c r="B520">
        <v>9.5398559999999993E-3</v>
      </c>
    </row>
    <row r="521" spans="1:2" x14ac:dyDescent="0.25">
      <c r="A521">
        <v>4.6738888110000003</v>
      </c>
      <c r="B521">
        <v>-1.4673959999999999E-3</v>
      </c>
    </row>
    <row r="522" spans="1:2" x14ac:dyDescent="0.25">
      <c r="A522">
        <v>4.6838888110000001</v>
      </c>
      <c r="B522">
        <v>-1.5944469999999999E-2</v>
      </c>
    </row>
    <row r="523" spans="1:2" x14ac:dyDescent="0.25">
      <c r="A523">
        <v>4.6938888109999999</v>
      </c>
      <c r="B523">
        <v>-3.1533094999999997E-2</v>
      </c>
    </row>
    <row r="524" spans="1:2" x14ac:dyDescent="0.25">
      <c r="A524">
        <v>4.7038888109999997</v>
      </c>
      <c r="B524">
        <v>-3.3100312999999999E-2</v>
      </c>
    </row>
    <row r="525" spans="1:2" x14ac:dyDescent="0.25">
      <c r="A525">
        <v>4.7138888110000003</v>
      </c>
      <c r="B525">
        <v>-3.3428344999999998E-2</v>
      </c>
    </row>
    <row r="526" spans="1:2" x14ac:dyDescent="0.25">
      <c r="A526">
        <v>4.7238888110000001</v>
      </c>
      <c r="B526">
        <v>-2.2346748999999999E-2</v>
      </c>
    </row>
    <row r="527" spans="1:2" x14ac:dyDescent="0.25">
      <c r="A527">
        <v>4.7338888109999999</v>
      </c>
      <c r="B527">
        <v>-1.4373029000000001E-2</v>
      </c>
    </row>
    <row r="528" spans="1:2" x14ac:dyDescent="0.25">
      <c r="A528">
        <v>4.7438888109999997</v>
      </c>
      <c r="B528">
        <v>-1.0994171E-2</v>
      </c>
    </row>
    <row r="529" spans="1:2" x14ac:dyDescent="0.25">
      <c r="A529">
        <v>4.7538888110000004</v>
      </c>
      <c r="B529">
        <v>-9.355202E-3</v>
      </c>
    </row>
    <row r="530" spans="1:2" x14ac:dyDescent="0.25">
      <c r="A530">
        <v>4.7638888110000002</v>
      </c>
      <c r="B530">
        <v>-5.8582469999999996E-3</v>
      </c>
    </row>
    <row r="531" spans="1:2" x14ac:dyDescent="0.25">
      <c r="A531">
        <v>4.773888811</v>
      </c>
      <c r="B531">
        <v>-1.1667443E-2</v>
      </c>
    </row>
    <row r="532" spans="1:2" x14ac:dyDescent="0.25">
      <c r="A532">
        <v>4.7838888109999997</v>
      </c>
      <c r="B532">
        <v>-1.3878702E-2</v>
      </c>
    </row>
    <row r="533" spans="1:2" x14ac:dyDescent="0.25">
      <c r="A533">
        <v>4.7938888110000004</v>
      </c>
      <c r="B533">
        <v>-1.6586884E-2</v>
      </c>
    </row>
    <row r="534" spans="1:2" x14ac:dyDescent="0.25">
      <c r="A534">
        <v>4.8038888110000002</v>
      </c>
      <c r="B534">
        <v>-2.6489736999999999E-2</v>
      </c>
    </row>
    <row r="535" spans="1:2" x14ac:dyDescent="0.25">
      <c r="A535">
        <v>4.813888811</v>
      </c>
      <c r="B535">
        <v>-3.3785069000000001E-2</v>
      </c>
    </row>
    <row r="536" spans="1:2" x14ac:dyDescent="0.25">
      <c r="A536">
        <v>4.8238888109999998</v>
      </c>
      <c r="B536">
        <v>-5.0009494000000002E-2</v>
      </c>
    </row>
    <row r="537" spans="1:2" x14ac:dyDescent="0.25">
      <c r="A537">
        <v>4.8338888109999996</v>
      </c>
      <c r="B537">
        <v>-5.7173614999999997E-2</v>
      </c>
    </row>
    <row r="538" spans="1:2" x14ac:dyDescent="0.25">
      <c r="A538">
        <v>4.8438888110000002</v>
      </c>
      <c r="B538">
        <v>-6.5080503999999997E-2</v>
      </c>
    </row>
    <row r="539" spans="1:2" x14ac:dyDescent="0.25">
      <c r="A539">
        <v>4.853888811</v>
      </c>
      <c r="B539">
        <v>-6.1698270999999999E-2</v>
      </c>
    </row>
    <row r="540" spans="1:2" x14ac:dyDescent="0.25">
      <c r="A540">
        <v>4.8638888109999998</v>
      </c>
      <c r="B540">
        <v>-5.9311725000000003E-2</v>
      </c>
    </row>
    <row r="541" spans="1:2" x14ac:dyDescent="0.25">
      <c r="A541">
        <v>4.8738888109999996</v>
      </c>
      <c r="B541">
        <v>-4.7625351000000003E-2</v>
      </c>
    </row>
    <row r="542" spans="1:2" x14ac:dyDescent="0.25">
      <c r="A542">
        <v>4.8838888110000003</v>
      </c>
      <c r="B542">
        <v>-4.8101736999999999E-2</v>
      </c>
    </row>
    <row r="543" spans="1:2" x14ac:dyDescent="0.25">
      <c r="A543">
        <v>4.8938888110000001</v>
      </c>
      <c r="B543">
        <v>-3.3571252000000003E-2</v>
      </c>
    </row>
    <row r="544" spans="1:2" x14ac:dyDescent="0.25">
      <c r="A544">
        <v>4.9038888109999998</v>
      </c>
      <c r="B544">
        <v>-6.2734239999999997E-3</v>
      </c>
    </row>
    <row r="545" spans="1:2" x14ac:dyDescent="0.25">
      <c r="A545">
        <v>4.9138888109999996</v>
      </c>
      <c r="B545">
        <v>1.2327599E-2</v>
      </c>
    </row>
    <row r="546" spans="1:2" x14ac:dyDescent="0.25">
      <c r="A546">
        <v>4.9238888110000003</v>
      </c>
      <c r="B546">
        <v>3.5383748999999999E-2</v>
      </c>
    </row>
    <row r="547" spans="1:2" x14ac:dyDescent="0.25">
      <c r="A547">
        <v>4.9338888110000001</v>
      </c>
      <c r="B547">
        <v>6.8102571000000001E-2</v>
      </c>
    </row>
    <row r="548" spans="1:2" x14ac:dyDescent="0.25">
      <c r="A548">
        <v>4.9438888109999999</v>
      </c>
      <c r="B548">
        <v>8.1207045000000005E-2</v>
      </c>
    </row>
    <row r="549" spans="1:2" x14ac:dyDescent="0.25">
      <c r="A549">
        <v>4.9538888109999997</v>
      </c>
      <c r="B549">
        <v>9.3931912000000006E-2</v>
      </c>
    </row>
    <row r="550" spans="1:2" x14ac:dyDescent="0.25">
      <c r="A550">
        <v>4.9638888110000003</v>
      </c>
      <c r="B550">
        <v>0.11223113899999999</v>
      </c>
    </row>
    <row r="551" spans="1:2" x14ac:dyDescent="0.25">
      <c r="A551">
        <v>4.9738888110000001</v>
      </c>
      <c r="B551">
        <v>0.12320239400000001</v>
      </c>
    </row>
    <row r="552" spans="1:2" x14ac:dyDescent="0.25">
      <c r="A552">
        <v>4.9838888109999999</v>
      </c>
      <c r="B552">
        <v>0.130818252</v>
      </c>
    </row>
    <row r="553" spans="1:2" x14ac:dyDescent="0.25">
      <c r="A553">
        <v>4.9938888109999997</v>
      </c>
      <c r="B553">
        <v>0.13582449699999999</v>
      </c>
    </row>
    <row r="554" spans="1:2" x14ac:dyDescent="0.25">
      <c r="A554">
        <v>5.0038888110000004</v>
      </c>
      <c r="B554">
        <v>0.14492032699999999</v>
      </c>
    </row>
    <row r="555" spans="1:2" x14ac:dyDescent="0.25">
      <c r="A555">
        <v>5.0138888110000002</v>
      </c>
      <c r="B555">
        <v>0.13900224</v>
      </c>
    </row>
    <row r="556" spans="1:2" x14ac:dyDescent="0.25">
      <c r="A556">
        <v>5.023888811</v>
      </c>
      <c r="B556">
        <v>0.12812410799999999</v>
      </c>
    </row>
    <row r="557" spans="1:2" x14ac:dyDescent="0.25">
      <c r="A557">
        <v>5.0338888109999997</v>
      </c>
      <c r="B557">
        <v>0.111668012</v>
      </c>
    </row>
    <row r="558" spans="1:2" x14ac:dyDescent="0.25">
      <c r="A558">
        <v>5.0438888110000004</v>
      </c>
      <c r="B558">
        <v>0.116304371</v>
      </c>
    </row>
    <row r="559" spans="1:2" x14ac:dyDescent="0.25">
      <c r="A559">
        <v>5.0538888110000002</v>
      </c>
      <c r="B559">
        <v>0.11237873499999999</v>
      </c>
    </row>
    <row r="560" spans="1:2" x14ac:dyDescent="0.25">
      <c r="A560">
        <v>5.063888811</v>
      </c>
      <c r="B560">
        <v>0.11924475900000001</v>
      </c>
    </row>
    <row r="561" spans="1:2" x14ac:dyDescent="0.25">
      <c r="A561">
        <v>5.0738888109999998</v>
      </c>
      <c r="B561">
        <v>0.124741906</v>
      </c>
    </row>
    <row r="562" spans="1:2" x14ac:dyDescent="0.25">
      <c r="A562">
        <v>5.0838888109999996</v>
      </c>
      <c r="B562">
        <v>0.122172846</v>
      </c>
    </row>
    <row r="563" spans="1:2" x14ac:dyDescent="0.25">
      <c r="A563">
        <v>5.0938888110000002</v>
      </c>
      <c r="B563">
        <v>0.121960368</v>
      </c>
    </row>
    <row r="564" spans="1:2" x14ac:dyDescent="0.25">
      <c r="A564">
        <v>5.103888811</v>
      </c>
      <c r="B564">
        <v>0.116785231</v>
      </c>
    </row>
    <row r="565" spans="1:2" x14ac:dyDescent="0.25">
      <c r="A565">
        <v>5.1138888109999998</v>
      </c>
      <c r="B565">
        <v>0.119425488</v>
      </c>
    </row>
    <row r="566" spans="1:2" x14ac:dyDescent="0.25">
      <c r="A566">
        <v>5.1238888109999996</v>
      </c>
      <c r="B566">
        <v>0.12268343</v>
      </c>
    </row>
    <row r="567" spans="1:2" x14ac:dyDescent="0.25">
      <c r="A567">
        <v>5.1338888110000003</v>
      </c>
      <c r="B567">
        <v>0.12531841799999999</v>
      </c>
    </row>
    <row r="568" spans="1:2" x14ac:dyDescent="0.25">
      <c r="A568">
        <v>5.1438888110000001</v>
      </c>
      <c r="B568">
        <v>0.113562682</v>
      </c>
    </row>
    <row r="569" spans="1:2" x14ac:dyDescent="0.25">
      <c r="A569">
        <v>5.1538888109999998</v>
      </c>
      <c r="B569">
        <v>0.110617678</v>
      </c>
    </row>
    <row r="570" spans="1:2" x14ac:dyDescent="0.25">
      <c r="A570">
        <v>5.1638888109999996</v>
      </c>
      <c r="B570">
        <v>8.6710556999999994E-2</v>
      </c>
    </row>
    <row r="571" spans="1:2" x14ac:dyDescent="0.25">
      <c r="A571">
        <v>5.1738888110000003</v>
      </c>
      <c r="B571">
        <v>5.5743023000000003E-2</v>
      </c>
    </row>
    <row r="572" spans="1:2" x14ac:dyDescent="0.25">
      <c r="A572">
        <v>5.1838888110000001</v>
      </c>
      <c r="B572">
        <v>4.0168901E-2</v>
      </c>
    </row>
    <row r="573" spans="1:2" x14ac:dyDescent="0.25">
      <c r="A573">
        <v>5.1938888109999999</v>
      </c>
      <c r="B573">
        <v>3.3779247999999998E-2</v>
      </c>
    </row>
    <row r="574" spans="1:2" x14ac:dyDescent="0.25">
      <c r="A574">
        <v>5.2038888109999997</v>
      </c>
      <c r="B574">
        <v>2.9623778999999999E-2</v>
      </c>
    </row>
    <row r="575" spans="1:2" x14ac:dyDescent="0.25">
      <c r="A575">
        <v>5.2138888110000003</v>
      </c>
      <c r="B575">
        <v>2.3484218000000001E-2</v>
      </c>
    </row>
    <row r="576" spans="1:2" x14ac:dyDescent="0.25">
      <c r="A576">
        <v>5.2238888110000001</v>
      </c>
      <c r="B576">
        <v>3.2602565E-2</v>
      </c>
    </row>
    <row r="577" spans="1:2" x14ac:dyDescent="0.25">
      <c r="A577">
        <v>5.2338888109999999</v>
      </c>
      <c r="B577">
        <v>2.1621380999999999E-2</v>
      </c>
    </row>
    <row r="578" spans="1:2" x14ac:dyDescent="0.25">
      <c r="A578">
        <v>5.2438888109999997</v>
      </c>
      <c r="B578">
        <v>1.5357226999999999E-2</v>
      </c>
    </row>
    <row r="579" spans="1:2" x14ac:dyDescent="0.25">
      <c r="A579">
        <v>5.2538888110000004</v>
      </c>
      <c r="B579">
        <v>1.6536731999999998E-2</v>
      </c>
    </row>
    <row r="580" spans="1:2" x14ac:dyDescent="0.25">
      <c r="A580">
        <v>5.2638888110000002</v>
      </c>
      <c r="B580">
        <v>2.0567123999999999E-2</v>
      </c>
    </row>
    <row r="581" spans="1:2" x14ac:dyDescent="0.25">
      <c r="A581">
        <v>5.273888811</v>
      </c>
      <c r="B581">
        <v>2.434619E-2</v>
      </c>
    </row>
    <row r="582" spans="1:2" x14ac:dyDescent="0.25">
      <c r="A582">
        <v>5.2838888109999997</v>
      </c>
      <c r="B582">
        <v>3.3331672E-2</v>
      </c>
    </row>
    <row r="583" spans="1:2" x14ac:dyDescent="0.25">
      <c r="A583">
        <v>5.2938888110000004</v>
      </c>
      <c r="B583">
        <v>4.0575147999999998E-2</v>
      </c>
    </row>
    <row r="584" spans="1:2" x14ac:dyDescent="0.25">
      <c r="A584">
        <v>5.3038888110000002</v>
      </c>
      <c r="B584">
        <v>5.1286979000000003E-2</v>
      </c>
    </row>
    <row r="585" spans="1:2" x14ac:dyDescent="0.25">
      <c r="A585">
        <v>5.313888811</v>
      </c>
      <c r="B585">
        <v>6.3977158000000006E-2</v>
      </c>
    </row>
    <row r="586" spans="1:2" x14ac:dyDescent="0.25">
      <c r="A586">
        <v>5.3238888109999998</v>
      </c>
      <c r="B586">
        <v>6.9838206E-2</v>
      </c>
    </row>
    <row r="587" spans="1:2" x14ac:dyDescent="0.25">
      <c r="A587">
        <v>5.3338888109999996</v>
      </c>
      <c r="B587">
        <v>6.8253099999999997E-2</v>
      </c>
    </row>
    <row r="588" spans="1:2" x14ac:dyDescent="0.25">
      <c r="A588">
        <v>5.3438888110000002</v>
      </c>
      <c r="B588">
        <v>8.4404707999999995E-2</v>
      </c>
    </row>
    <row r="589" spans="1:2" x14ac:dyDescent="0.25">
      <c r="A589">
        <v>5.353888811</v>
      </c>
      <c r="B589">
        <v>9.4717944999999998E-2</v>
      </c>
    </row>
    <row r="590" spans="1:2" x14ac:dyDescent="0.25">
      <c r="A590">
        <v>5.3638888109999998</v>
      </c>
      <c r="B590">
        <v>9.9691670999999996E-2</v>
      </c>
    </row>
    <row r="591" spans="1:2" x14ac:dyDescent="0.25">
      <c r="A591">
        <v>5.3738888109999996</v>
      </c>
      <c r="B591">
        <v>0.109623401</v>
      </c>
    </row>
    <row r="592" spans="1:2" x14ac:dyDescent="0.25">
      <c r="A592">
        <v>5.3838888110000003</v>
      </c>
      <c r="B592">
        <v>0.112603361</v>
      </c>
    </row>
    <row r="593" spans="1:2" x14ac:dyDescent="0.25">
      <c r="A593">
        <v>5.3938888110000001</v>
      </c>
      <c r="B593">
        <v>0.12314704899999999</v>
      </c>
    </row>
    <row r="594" spans="1:2" x14ac:dyDescent="0.25">
      <c r="A594">
        <v>5.4038888109999998</v>
      </c>
      <c r="B594">
        <v>0.124257991</v>
      </c>
    </row>
    <row r="595" spans="1:2" x14ac:dyDescent="0.25">
      <c r="A595">
        <v>5.4138888109999996</v>
      </c>
      <c r="B595">
        <v>0.12908842100000001</v>
      </c>
    </row>
    <row r="596" spans="1:2" x14ac:dyDescent="0.25">
      <c r="A596">
        <v>5.4238888110000003</v>
      </c>
      <c r="B596">
        <v>0.12721756200000001</v>
      </c>
    </row>
    <row r="597" spans="1:2" x14ac:dyDescent="0.25">
      <c r="A597">
        <v>5.4338888110000001</v>
      </c>
      <c r="B597">
        <v>0.122617673</v>
      </c>
    </row>
    <row r="598" spans="1:2" x14ac:dyDescent="0.25">
      <c r="A598">
        <v>5.4438888109999999</v>
      </c>
      <c r="B598">
        <v>0.12149183700000001</v>
      </c>
    </row>
    <row r="599" spans="1:2" x14ac:dyDescent="0.25">
      <c r="A599">
        <v>5.4538888109999997</v>
      </c>
      <c r="B599">
        <v>0.112427085</v>
      </c>
    </row>
    <row r="600" spans="1:2" x14ac:dyDescent="0.25">
      <c r="A600">
        <v>5.4638888110000003</v>
      </c>
      <c r="B600">
        <v>0.11080760200000001</v>
      </c>
    </row>
    <row r="601" spans="1:2" x14ac:dyDescent="0.25">
      <c r="A601">
        <v>5.4738888110000001</v>
      </c>
      <c r="B601">
        <v>9.2690890999999997E-2</v>
      </c>
    </row>
    <row r="602" spans="1:2" x14ac:dyDescent="0.25">
      <c r="A602">
        <v>5.4838888109999999</v>
      </c>
      <c r="B602">
        <v>7.4953492999999996E-2</v>
      </c>
    </row>
    <row r="603" spans="1:2" x14ac:dyDescent="0.25">
      <c r="A603">
        <v>5.4938888109999997</v>
      </c>
      <c r="B603">
        <v>5.2757772000000001E-2</v>
      </c>
    </row>
    <row r="604" spans="1:2" x14ac:dyDescent="0.25">
      <c r="A604">
        <v>5.5038888110000004</v>
      </c>
      <c r="B604">
        <v>3.6524818000000001E-2</v>
      </c>
    </row>
    <row r="605" spans="1:2" x14ac:dyDescent="0.25">
      <c r="A605">
        <v>5.5138888110000002</v>
      </c>
      <c r="B605">
        <v>1.2607826000000001E-2</v>
      </c>
    </row>
    <row r="606" spans="1:2" x14ac:dyDescent="0.25">
      <c r="A606">
        <v>5.523888811</v>
      </c>
      <c r="B606">
        <v>-3.2370559999999999E-3</v>
      </c>
    </row>
    <row r="607" spans="1:2" x14ac:dyDescent="0.25">
      <c r="A607">
        <v>5.5338888109999997</v>
      </c>
      <c r="B607">
        <v>-2.3541274000000001E-2</v>
      </c>
    </row>
    <row r="608" spans="1:2" x14ac:dyDescent="0.25">
      <c r="A608">
        <v>5.5438888110000004</v>
      </c>
      <c r="B608">
        <v>-3.9992355E-2</v>
      </c>
    </row>
    <row r="609" spans="1:2" x14ac:dyDescent="0.25">
      <c r="A609">
        <v>5.5538888110000002</v>
      </c>
      <c r="B609">
        <v>-5.2592102000000002E-2</v>
      </c>
    </row>
    <row r="610" spans="1:2" x14ac:dyDescent="0.25">
      <c r="A610">
        <v>5.563888811</v>
      </c>
      <c r="B610">
        <v>-6.6055698999999996E-2</v>
      </c>
    </row>
    <row r="611" spans="1:2" x14ac:dyDescent="0.25">
      <c r="A611">
        <v>5.5738888109999998</v>
      </c>
      <c r="B611">
        <v>-5.7063879999999997E-2</v>
      </c>
    </row>
    <row r="612" spans="1:2" x14ac:dyDescent="0.25">
      <c r="A612">
        <v>5.5838888109999996</v>
      </c>
      <c r="B612">
        <v>-6.6559046999999996E-2</v>
      </c>
    </row>
    <row r="613" spans="1:2" x14ac:dyDescent="0.25">
      <c r="A613">
        <v>5.5938888110000002</v>
      </c>
      <c r="B613">
        <v>-6.3771618000000002E-2</v>
      </c>
    </row>
    <row r="614" spans="1:2" x14ac:dyDescent="0.25">
      <c r="A614">
        <v>5.603888811</v>
      </c>
      <c r="B614">
        <v>-5.6025394999999999E-2</v>
      </c>
    </row>
    <row r="615" spans="1:2" x14ac:dyDescent="0.25">
      <c r="A615">
        <v>5.6138888109999998</v>
      </c>
      <c r="B615">
        <v>-5.6470522000000002E-2</v>
      </c>
    </row>
    <row r="616" spans="1:2" x14ac:dyDescent="0.25">
      <c r="A616">
        <v>5.6238888109999996</v>
      </c>
      <c r="B616">
        <v>-4.5629469999999998E-2</v>
      </c>
    </row>
    <row r="617" spans="1:2" x14ac:dyDescent="0.25">
      <c r="A617">
        <v>5.6338888110000003</v>
      </c>
      <c r="B617">
        <v>-3.1693822000000003E-2</v>
      </c>
    </row>
    <row r="618" spans="1:2" x14ac:dyDescent="0.25">
      <c r="A618">
        <v>5.6438888110000001</v>
      </c>
      <c r="B618">
        <v>-3.1906061999999999E-2</v>
      </c>
    </row>
    <row r="619" spans="1:2" x14ac:dyDescent="0.25">
      <c r="A619">
        <v>5.6538888109999998</v>
      </c>
      <c r="B619">
        <v>-2.7033993999999999E-2</v>
      </c>
    </row>
    <row r="620" spans="1:2" x14ac:dyDescent="0.25">
      <c r="A620">
        <v>5.6638888109999996</v>
      </c>
      <c r="B620">
        <v>-7.0329720000000002E-3</v>
      </c>
    </row>
    <row r="621" spans="1:2" x14ac:dyDescent="0.25">
      <c r="A621">
        <v>5.6738888110000003</v>
      </c>
      <c r="B621">
        <v>-2.5469619999999998E-3</v>
      </c>
    </row>
    <row r="622" spans="1:2" x14ac:dyDescent="0.25">
      <c r="A622">
        <v>5.6838888110000001</v>
      </c>
      <c r="B622">
        <v>1.1734665999999999E-2</v>
      </c>
    </row>
    <row r="623" spans="1:2" x14ac:dyDescent="0.25">
      <c r="A623">
        <v>5.6938888109999999</v>
      </c>
      <c r="B623">
        <v>2.5512399000000002E-2</v>
      </c>
    </row>
    <row r="624" spans="1:2" x14ac:dyDescent="0.25">
      <c r="A624">
        <v>5.7038888109999997</v>
      </c>
      <c r="B624">
        <v>3.2088522000000001E-2</v>
      </c>
    </row>
    <row r="625" spans="1:2" x14ac:dyDescent="0.25">
      <c r="A625">
        <v>5.7138888110000003</v>
      </c>
      <c r="B625">
        <v>4.2257558000000001E-2</v>
      </c>
    </row>
    <row r="626" spans="1:2" x14ac:dyDescent="0.25">
      <c r="A626">
        <v>5.7238888110000001</v>
      </c>
      <c r="B626">
        <v>5.4405403999999997E-2</v>
      </c>
    </row>
    <row r="627" spans="1:2" x14ac:dyDescent="0.25">
      <c r="A627">
        <v>5.7338888109999999</v>
      </c>
      <c r="B627">
        <v>6.6794665000000003E-2</v>
      </c>
    </row>
    <row r="628" spans="1:2" x14ac:dyDescent="0.25">
      <c r="A628">
        <v>5.7438888109999997</v>
      </c>
      <c r="B628">
        <v>7.3471502999999994E-2</v>
      </c>
    </row>
    <row r="629" spans="1:2" x14ac:dyDescent="0.25">
      <c r="A629">
        <v>5.7538888110000004</v>
      </c>
      <c r="B629">
        <v>9.0067181999999996E-2</v>
      </c>
    </row>
    <row r="630" spans="1:2" x14ac:dyDescent="0.25">
      <c r="A630">
        <v>5.7638888110000002</v>
      </c>
      <c r="B630">
        <v>0.11818965400000001</v>
      </c>
    </row>
    <row r="631" spans="1:2" x14ac:dyDescent="0.25">
      <c r="A631">
        <v>5.773888811</v>
      </c>
      <c r="B631">
        <v>0.13017350699999999</v>
      </c>
    </row>
    <row r="632" spans="1:2" x14ac:dyDescent="0.25">
      <c r="A632">
        <v>5.7838888109999997</v>
      </c>
      <c r="B632">
        <v>0.14785664400000001</v>
      </c>
    </row>
    <row r="633" spans="1:2" x14ac:dyDescent="0.25">
      <c r="A633">
        <v>5.7938888110000004</v>
      </c>
      <c r="B633">
        <v>0.15535979499999999</v>
      </c>
    </row>
    <row r="634" spans="1:2" x14ac:dyDescent="0.25">
      <c r="A634">
        <v>5.8038888110000002</v>
      </c>
      <c r="B634">
        <v>0.166951877</v>
      </c>
    </row>
    <row r="635" spans="1:2" x14ac:dyDescent="0.25">
      <c r="A635">
        <v>5.813888811</v>
      </c>
      <c r="B635">
        <v>0.16638223599999999</v>
      </c>
    </row>
    <row r="636" spans="1:2" x14ac:dyDescent="0.25">
      <c r="A636">
        <v>5.8238888109999998</v>
      </c>
      <c r="B636">
        <v>0.15874197300000001</v>
      </c>
    </row>
    <row r="637" spans="1:2" x14ac:dyDescent="0.25">
      <c r="A637">
        <v>5.8338888109999996</v>
      </c>
      <c r="B637">
        <v>0.15594184799999999</v>
      </c>
    </row>
    <row r="638" spans="1:2" x14ac:dyDescent="0.25">
      <c r="A638">
        <v>5.8438888110000002</v>
      </c>
      <c r="B638">
        <v>0.13800973</v>
      </c>
    </row>
    <row r="639" spans="1:2" x14ac:dyDescent="0.25">
      <c r="A639">
        <v>5.853888811</v>
      </c>
      <c r="B639">
        <v>0.120705202</v>
      </c>
    </row>
    <row r="640" spans="1:2" x14ac:dyDescent="0.25">
      <c r="A640">
        <v>5.8638888109999998</v>
      </c>
      <c r="B640">
        <v>9.8074185999999994E-2</v>
      </c>
    </row>
    <row r="641" spans="1:2" x14ac:dyDescent="0.25">
      <c r="A641">
        <v>5.8738888109999996</v>
      </c>
      <c r="B641">
        <v>7.2971931000000004E-2</v>
      </c>
    </row>
    <row r="642" spans="1:2" x14ac:dyDescent="0.25">
      <c r="A642">
        <v>5.8838888110000003</v>
      </c>
      <c r="B642">
        <v>5.7183006000000002E-2</v>
      </c>
    </row>
    <row r="643" spans="1:2" x14ac:dyDescent="0.25">
      <c r="A643">
        <v>5.8938888110000001</v>
      </c>
      <c r="B643">
        <v>4.1028241E-2</v>
      </c>
    </row>
    <row r="644" spans="1:2" x14ac:dyDescent="0.25">
      <c r="A644">
        <v>5.9038888109999998</v>
      </c>
      <c r="B644">
        <v>2.3763553999999999E-2</v>
      </c>
    </row>
    <row r="645" spans="1:2" x14ac:dyDescent="0.25">
      <c r="A645">
        <v>5.9138888109999996</v>
      </c>
      <c r="B645">
        <v>2.2258407000000001E-2</v>
      </c>
    </row>
    <row r="646" spans="1:2" x14ac:dyDescent="0.25">
      <c r="A646">
        <v>5.9238888110000003</v>
      </c>
      <c r="B646">
        <v>1.8148128999999999E-2</v>
      </c>
    </row>
    <row r="647" spans="1:2" x14ac:dyDescent="0.25">
      <c r="A647">
        <v>5.9338888110000001</v>
      </c>
      <c r="B647">
        <v>2.1356844E-2</v>
      </c>
    </row>
    <row r="648" spans="1:2" x14ac:dyDescent="0.25">
      <c r="A648">
        <v>5.9438888109999999</v>
      </c>
      <c r="B648">
        <v>2.7539915000000002E-2</v>
      </c>
    </row>
    <row r="649" spans="1:2" x14ac:dyDescent="0.25">
      <c r="A649">
        <v>5.9538888109999997</v>
      </c>
      <c r="B649">
        <v>3.9052686000000003E-2</v>
      </c>
    </row>
    <row r="650" spans="1:2" x14ac:dyDescent="0.25">
      <c r="A650">
        <v>5.9638888110000003</v>
      </c>
      <c r="B650">
        <v>5.1179343000000002E-2</v>
      </c>
    </row>
    <row r="651" spans="1:2" x14ac:dyDescent="0.25">
      <c r="A651">
        <v>5.9738888110000001</v>
      </c>
      <c r="B651">
        <v>6.5408069999999999E-2</v>
      </c>
    </row>
    <row r="652" spans="1:2" x14ac:dyDescent="0.25">
      <c r="A652">
        <v>5.9838888109999999</v>
      </c>
      <c r="B652">
        <v>7.8637021000000001E-2</v>
      </c>
    </row>
    <row r="653" spans="1:2" x14ac:dyDescent="0.25">
      <c r="A653">
        <v>5.9938888109999997</v>
      </c>
      <c r="B653">
        <v>7.5238068000000005E-2</v>
      </c>
    </row>
    <row r="654" spans="1:2" x14ac:dyDescent="0.25">
      <c r="A654">
        <v>6.0038888110000004</v>
      </c>
      <c r="B654">
        <v>7.9902154000000003E-2</v>
      </c>
    </row>
    <row r="655" spans="1:2" x14ac:dyDescent="0.25">
      <c r="A655">
        <v>6.0138888110000002</v>
      </c>
      <c r="B655">
        <v>8.3818979000000002E-2</v>
      </c>
    </row>
    <row r="656" spans="1:2" x14ac:dyDescent="0.25">
      <c r="A656">
        <v>6.023888811</v>
      </c>
      <c r="B656">
        <v>8.1159176999999999E-2</v>
      </c>
    </row>
    <row r="657" spans="1:2" x14ac:dyDescent="0.25">
      <c r="A657">
        <v>6.0338888109999997</v>
      </c>
      <c r="B657">
        <v>7.3290176999999998E-2</v>
      </c>
    </row>
    <row r="658" spans="1:2" x14ac:dyDescent="0.25">
      <c r="A658">
        <v>6.0438888110000004</v>
      </c>
      <c r="B658">
        <v>6.5671974999999994E-2</v>
      </c>
    </row>
    <row r="659" spans="1:2" x14ac:dyDescent="0.25">
      <c r="A659">
        <v>6.0538888110000002</v>
      </c>
      <c r="B659">
        <v>6.0785176000000003E-2</v>
      </c>
    </row>
    <row r="660" spans="1:2" x14ac:dyDescent="0.25">
      <c r="A660">
        <v>6.063888811</v>
      </c>
      <c r="B660">
        <v>5.2054575999999998E-2</v>
      </c>
    </row>
    <row r="661" spans="1:2" x14ac:dyDescent="0.25">
      <c r="A661">
        <v>6.0738888109999998</v>
      </c>
      <c r="B661">
        <v>4.9280825E-2</v>
      </c>
    </row>
    <row r="662" spans="1:2" x14ac:dyDescent="0.25">
      <c r="A662">
        <v>6.0838888109999996</v>
      </c>
      <c r="B662">
        <v>4.5391090000000002E-2</v>
      </c>
    </row>
    <row r="663" spans="1:2" x14ac:dyDescent="0.25">
      <c r="A663">
        <v>6.0938888110000002</v>
      </c>
      <c r="B663">
        <v>3.9765698000000002E-2</v>
      </c>
    </row>
    <row r="664" spans="1:2" x14ac:dyDescent="0.25">
      <c r="A664">
        <v>6.103888811</v>
      </c>
      <c r="B664">
        <v>4.9150388000000003E-2</v>
      </c>
    </row>
    <row r="665" spans="1:2" x14ac:dyDescent="0.25">
      <c r="A665">
        <v>6.1138888109999998</v>
      </c>
      <c r="B665">
        <v>8.5817905E-2</v>
      </c>
    </row>
    <row r="666" spans="1:2" x14ac:dyDescent="0.25">
      <c r="A666">
        <v>6.1238888109999996</v>
      </c>
      <c r="B666">
        <v>0.10931982899999999</v>
      </c>
    </row>
    <row r="667" spans="1:2" x14ac:dyDescent="0.25">
      <c r="A667">
        <v>6.1338888110000003</v>
      </c>
      <c r="B667">
        <v>0.131445752</v>
      </c>
    </row>
    <row r="668" spans="1:2" x14ac:dyDescent="0.25">
      <c r="A668">
        <v>6.1438888110000001</v>
      </c>
      <c r="B668">
        <v>0.14748296599999999</v>
      </c>
    </row>
    <row r="669" spans="1:2" x14ac:dyDescent="0.25">
      <c r="A669">
        <v>6.1538888109999998</v>
      </c>
      <c r="B669">
        <v>0.166116873</v>
      </c>
    </row>
    <row r="670" spans="1:2" x14ac:dyDescent="0.25">
      <c r="A670">
        <v>6.1638888109999996</v>
      </c>
      <c r="B670">
        <v>0.17804357200000001</v>
      </c>
    </row>
    <row r="671" spans="1:2" x14ac:dyDescent="0.25">
      <c r="A671">
        <v>6.1738888110000003</v>
      </c>
      <c r="B671">
        <v>0.19182470700000001</v>
      </c>
    </row>
    <row r="672" spans="1:2" x14ac:dyDescent="0.25">
      <c r="A672">
        <v>6.1838888110000001</v>
      </c>
      <c r="B672">
        <v>0.199024964</v>
      </c>
    </row>
    <row r="673" spans="1:2" x14ac:dyDescent="0.25">
      <c r="A673">
        <v>6.1938888109999999</v>
      </c>
      <c r="B673">
        <v>0.185631247</v>
      </c>
    </row>
    <row r="674" spans="1:2" x14ac:dyDescent="0.25">
      <c r="A674">
        <v>6.2038888109999997</v>
      </c>
      <c r="B674">
        <v>0.16182401299999999</v>
      </c>
    </row>
    <row r="675" spans="1:2" x14ac:dyDescent="0.25">
      <c r="A675">
        <v>6.2138888110000003</v>
      </c>
      <c r="B675">
        <v>0.13777901000000001</v>
      </c>
    </row>
    <row r="676" spans="1:2" x14ac:dyDescent="0.25">
      <c r="A676">
        <v>6.2238888110000001</v>
      </c>
      <c r="B676">
        <v>0.107418506</v>
      </c>
    </row>
    <row r="677" spans="1:2" x14ac:dyDescent="0.25">
      <c r="A677">
        <v>6.2338888109999999</v>
      </c>
      <c r="B677">
        <v>7.9427910000000004E-2</v>
      </c>
    </row>
    <row r="678" spans="1:2" x14ac:dyDescent="0.25">
      <c r="A678">
        <v>6.2438888109999997</v>
      </c>
      <c r="B678">
        <v>4.4627367000000001E-2</v>
      </c>
    </row>
    <row r="679" spans="1:2" x14ac:dyDescent="0.25">
      <c r="A679">
        <v>6.2538888110000004</v>
      </c>
      <c r="B679">
        <v>5.3766350000000003E-3</v>
      </c>
    </row>
    <row r="680" spans="1:2" x14ac:dyDescent="0.25">
      <c r="A680">
        <v>6.2638888110000002</v>
      </c>
      <c r="B680">
        <v>-1.8724523999999999E-2</v>
      </c>
    </row>
    <row r="681" spans="1:2" x14ac:dyDescent="0.25">
      <c r="A681">
        <v>6.273888811</v>
      </c>
      <c r="B681">
        <v>-2.7186981999999998E-2</v>
      </c>
    </row>
    <row r="682" spans="1:2" x14ac:dyDescent="0.25">
      <c r="A682">
        <v>6.2838888109999997</v>
      </c>
      <c r="B682">
        <v>-4.0732066999999997E-2</v>
      </c>
    </row>
    <row r="683" spans="1:2" x14ac:dyDescent="0.25">
      <c r="A683">
        <v>6.2938888110000004</v>
      </c>
      <c r="B683">
        <v>-4.5837470999999998E-2</v>
      </c>
    </row>
    <row r="684" spans="1:2" x14ac:dyDescent="0.25">
      <c r="A684">
        <v>6.3038888110000002</v>
      </c>
      <c r="B684">
        <v>-3.9406165E-2</v>
      </c>
    </row>
    <row r="685" spans="1:2" x14ac:dyDescent="0.25">
      <c r="A685">
        <v>6.313888811</v>
      </c>
      <c r="B685">
        <v>-2.3055916999999999E-2</v>
      </c>
    </row>
    <row r="686" spans="1:2" x14ac:dyDescent="0.25">
      <c r="A686">
        <v>6.3238888109999998</v>
      </c>
      <c r="B686">
        <v>-1.5892895000000001E-2</v>
      </c>
    </row>
    <row r="687" spans="1:2" x14ac:dyDescent="0.25">
      <c r="A687">
        <v>6.3338888109999996</v>
      </c>
      <c r="B687">
        <v>1.1887899999999999E-3</v>
      </c>
    </row>
    <row r="688" spans="1:2" x14ac:dyDescent="0.25">
      <c r="A688">
        <v>6.3438888110000002</v>
      </c>
      <c r="B688">
        <v>9.9512290000000007E-3</v>
      </c>
    </row>
    <row r="689" spans="1:2" x14ac:dyDescent="0.25">
      <c r="A689">
        <v>6.353888811</v>
      </c>
      <c r="B689">
        <v>2.2305788999999999E-2</v>
      </c>
    </row>
    <row r="690" spans="1:2" x14ac:dyDescent="0.25">
      <c r="A690">
        <v>6.3638888109999998</v>
      </c>
      <c r="B690">
        <v>3.0312503000000001E-2</v>
      </c>
    </row>
    <row r="691" spans="1:2" x14ac:dyDescent="0.25">
      <c r="A691">
        <v>6.3738888109999996</v>
      </c>
      <c r="B691">
        <v>2.3306239999999999E-2</v>
      </c>
    </row>
    <row r="692" spans="1:2" x14ac:dyDescent="0.25">
      <c r="A692">
        <v>6.3838888110000003</v>
      </c>
      <c r="B692">
        <v>2.300031E-2</v>
      </c>
    </row>
    <row r="693" spans="1:2" x14ac:dyDescent="0.25">
      <c r="A693">
        <v>6.3938888110000001</v>
      </c>
      <c r="B693">
        <v>2.5174388999999998E-2</v>
      </c>
    </row>
    <row r="694" spans="1:2" x14ac:dyDescent="0.25">
      <c r="A694">
        <v>6.4038888109999998</v>
      </c>
      <c r="B694">
        <v>1.5066982E-2</v>
      </c>
    </row>
    <row r="695" spans="1:2" x14ac:dyDescent="0.25">
      <c r="A695">
        <v>6.4138888109999996</v>
      </c>
      <c r="B695">
        <v>9.6767429999999998E-3</v>
      </c>
    </row>
    <row r="696" spans="1:2" x14ac:dyDescent="0.25">
      <c r="A696">
        <v>6.4238888110000003</v>
      </c>
      <c r="B696">
        <v>-9.6040009999999992E-3</v>
      </c>
    </row>
    <row r="697" spans="1:2" x14ac:dyDescent="0.25">
      <c r="A697">
        <v>6.4338888110000001</v>
      </c>
      <c r="B697">
        <v>-1.6721201000000002E-2</v>
      </c>
    </row>
    <row r="698" spans="1:2" x14ac:dyDescent="0.25">
      <c r="A698">
        <v>6.4438888109999999</v>
      </c>
      <c r="B698">
        <v>-2.6812934E-2</v>
      </c>
    </row>
    <row r="699" spans="1:2" x14ac:dyDescent="0.25">
      <c r="A699">
        <v>6.4538888109999997</v>
      </c>
      <c r="B699">
        <v>-2.6854000999999999E-2</v>
      </c>
    </row>
    <row r="700" spans="1:2" x14ac:dyDescent="0.25">
      <c r="A700">
        <v>6.4638888110000003</v>
      </c>
      <c r="B700">
        <v>-2.3795073999999999E-2</v>
      </c>
    </row>
    <row r="701" spans="1:2" x14ac:dyDescent="0.25">
      <c r="A701">
        <v>6.4738888110000001</v>
      </c>
      <c r="B701">
        <v>-6.2261979999999996E-3</v>
      </c>
    </row>
    <row r="702" spans="1:2" x14ac:dyDescent="0.25">
      <c r="A702">
        <v>6.4838888109999999</v>
      </c>
      <c r="B702">
        <v>1.7287462999999999E-2</v>
      </c>
    </row>
    <row r="703" spans="1:2" x14ac:dyDescent="0.25">
      <c r="A703">
        <v>6.4938888109999997</v>
      </c>
      <c r="B703">
        <v>4.5750934E-2</v>
      </c>
    </row>
    <row r="704" spans="1:2" x14ac:dyDescent="0.25">
      <c r="A704">
        <v>6.5038888110000004</v>
      </c>
      <c r="B704">
        <v>7.8169707000000005E-2</v>
      </c>
    </row>
    <row r="705" spans="1:2" x14ac:dyDescent="0.25">
      <c r="A705">
        <v>6.5138888110000002</v>
      </c>
      <c r="B705">
        <v>0.10238644199999999</v>
      </c>
    </row>
    <row r="706" spans="1:2" x14ac:dyDescent="0.25">
      <c r="A706">
        <v>6.523888811</v>
      </c>
      <c r="B706">
        <v>0.13353743900000001</v>
      </c>
    </row>
    <row r="707" spans="1:2" x14ac:dyDescent="0.25">
      <c r="A707">
        <v>6.5338888109999997</v>
      </c>
      <c r="B707">
        <v>0.145943988</v>
      </c>
    </row>
    <row r="708" spans="1:2" x14ac:dyDescent="0.25">
      <c r="A708">
        <v>6.5438888110000004</v>
      </c>
      <c r="B708">
        <v>0.14656079599999999</v>
      </c>
    </row>
    <row r="709" spans="1:2" x14ac:dyDescent="0.25">
      <c r="A709">
        <v>6.5538888110000002</v>
      </c>
      <c r="B709">
        <v>0.151145945</v>
      </c>
    </row>
    <row r="710" spans="1:2" x14ac:dyDescent="0.25">
      <c r="A710">
        <v>6.563888811</v>
      </c>
      <c r="B710">
        <v>0.14332478400000001</v>
      </c>
    </row>
    <row r="711" spans="1:2" x14ac:dyDescent="0.25">
      <c r="A711">
        <v>6.5738888109999998</v>
      </c>
      <c r="B711">
        <v>0.132157683</v>
      </c>
    </row>
    <row r="712" spans="1:2" x14ac:dyDescent="0.25">
      <c r="A712">
        <v>6.5838888109999996</v>
      </c>
      <c r="B712">
        <v>0.103878093</v>
      </c>
    </row>
    <row r="713" spans="1:2" x14ac:dyDescent="0.25">
      <c r="A713">
        <v>6.5938888110000002</v>
      </c>
      <c r="B713">
        <v>7.5610889000000001E-2</v>
      </c>
    </row>
    <row r="714" spans="1:2" x14ac:dyDescent="0.25">
      <c r="A714">
        <v>6.603888811</v>
      </c>
      <c r="B714">
        <v>5.0953071000000003E-2</v>
      </c>
    </row>
    <row r="715" spans="1:2" x14ac:dyDescent="0.25">
      <c r="A715">
        <v>6.6138888109999998</v>
      </c>
      <c r="B715">
        <v>2.4941464999999999E-2</v>
      </c>
    </row>
    <row r="716" spans="1:2" x14ac:dyDescent="0.25">
      <c r="A716">
        <v>6.6238888109999996</v>
      </c>
      <c r="B716">
        <v>-1.2470327E-2</v>
      </c>
    </row>
    <row r="717" spans="1:2" x14ac:dyDescent="0.25">
      <c r="A717">
        <v>6.6338888110000003</v>
      </c>
      <c r="B717">
        <v>-3.4485217999999998E-2</v>
      </c>
    </row>
    <row r="718" spans="1:2" x14ac:dyDescent="0.25">
      <c r="A718">
        <v>6.6438888110000001</v>
      </c>
      <c r="B718">
        <v>-4.8552533000000002E-2</v>
      </c>
    </row>
    <row r="719" spans="1:2" x14ac:dyDescent="0.25">
      <c r="A719">
        <v>6.6538888109999998</v>
      </c>
      <c r="B719">
        <v>-6.5963288999999994E-2</v>
      </c>
    </row>
    <row r="720" spans="1:2" x14ac:dyDescent="0.25">
      <c r="A720">
        <v>6.6638888109999996</v>
      </c>
      <c r="B720">
        <v>-6.4389384999999993E-2</v>
      </c>
    </row>
    <row r="721" spans="1:2" x14ac:dyDescent="0.25">
      <c r="A721">
        <v>6.6738888110000003</v>
      </c>
      <c r="B721">
        <v>-4.8801012999999997E-2</v>
      </c>
    </row>
    <row r="722" spans="1:2" x14ac:dyDescent="0.25">
      <c r="A722">
        <v>6.6838888110000001</v>
      </c>
      <c r="B722">
        <v>-1.8832475000000001E-2</v>
      </c>
    </row>
    <row r="723" spans="1:2" x14ac:dyDescent="0.25">
      <c r="A723">
        <v>6.6938888109999999</v>
      </c>
      <c r="B723">
        <v>1.6946419999999999E-3</v>
      </c>
    </row>
    <row r="724" spans="1:2" x14ac:dyDescent="0.25">
      <c r="A724">
        <v>6.7038888109999997</v>
      </c>
      <c r="B724">
        <v>2.4072065E-2</v>
      </c>
    </row>
    <row r="725" spans="1:2" x14ac:dyDescent="0.25">
      <c r="A725">
        <v>6.7138888110000003</v>
      </c>
      <c r="B725">
        <v>4.3833671999999997E-2</v>
      </c>
    </row>
    <row r="726" spans="1:2" x14ac:dyDescent="0.25">
      <c r="A726">
        <v>6.7238888110000001</v>
      </c>
      <c r="B726">
        <v>6.1352824E-2</v>
      </c>
    </row>
    <row r="727" spans="1:2" x14ac:dyDescent="0.25">
      <c r="A727">
        <v>6.7338888109999999</v>
      </c>
      <c r="B727">
        <v>7.0800868000000003E-2</v>
      </c>
    </row>
    <row r="728" spans="1:2" x14ac:dyDescent="0.25">
      <c r="A728">
        <v>6.7438888109999997</v>
      </c>
      <c r="B728">
        <v>7.9251631000000003E-2</v>
      </c>
    </row>
    <row r="729" spans="1:2" x14ac:dyDescent="0.25">
      <c r="A729">
        <v>6.7538888110000004</v>
      </c>
      <c r="B729">
        <v>8.7077700999999993E-2</v>
      </c>
    </row>
    <row r="730" spans="1:2" x14ac:dyDescent="0.25">
      <c r="A730">
        <v>6.7638888110000002</v>
      </c>
      <c r="B730">
        <v>9.3535166000000003E-2</v>
      </c>
    </row>
    <row r="731" spans="1:2" x14ac:dyDescent="0.25">
      <c r="A731">
        <v>6.773888811</v>
      </c>
      <c r="B731">
        <v>7.7042294999999997E-2</v>
      </c>
    </row>
    <row r="732" spans="1:2" x14ac:dyDescent="0.25">
      <c r="A732">
        <v>6.7838888109999997</v>
      </c>
      <c r="B732">
        <v>6.7750521999999994E-2</v>
      </c>
    </row>
    <row r="733" spans="1:2" x14ac:dyDescent="0.25">
      <c r="A733">
        <v>6.7938888110000004</v>
      </c>
      <c r="B733">
        <v>6.3795965999999996E-2</v>
      </c>
    </row>
    <row r="734" spans="1:2" x14ac:dyDescent="0.25">
      <c r="A734">
        <v>6.8038888110000002</v>
      </c>
      <c r="B734">
        <v>4.1113057000000001E-2</v>
      </c>
    </row>
    <row r="735" spans="1:2" x14ac:dyDescent="0.25">
      <c r="A735">
        <v>6.813888811</v>
      </c>
      <c r="B735">
        <v>3.6053107000000001E-2</v>
      </c>
    </row>
    <row r="736" spans="1:2" x14ac:dyDescent="0.25">
      <c r="A736">
        <v>6.8238888109999998</v>
      </c>
      <c r="B736">
        <v>2.5041034E-2</v>
      </c>
    </row>
    <row r="737" spans="1:2" x14ac:dyDescent="0.25">
      <c r="A737">
        <v>6.8338888109999996</v>
      </c>
      <c r="B737">
        <v>3.2390741000000001E-2</v>
      </c>
    </row>
    <row r="738" spans="1:2" x14ac:dyDescent="0.25">
      <c r="A738">
        <v>6.8438888110000002</v>
      </c>
      <c r="B738">
        <v>2.7704820000000002E-2</v>
      </c>
    </row>
    <row r="739" spans="1:2" x14ac:dyDescent="0.25">
      <c r="A739">
        <v>6.853888811</v>
      </c>
      <c r="B739">
        <v>4.8447867999999998E-2</v>
      </c>
    </row>
    <row r="740" spans="1:2" x14ac:dyDescent="0.25">
      <c r="A740">
        <v>6.8638888109999998</v>
      </c>
      <c r="B740">
        <v>8.4189154000000002E-2</v>
      </c>
    </row>
    <row r="741" spans="1:2" x14ac:dyDescent="0.25">
      <c r="A741">
        <v>6.8738888109999996</v>
      </c>
      <c r="B741">
        <v>0.104656912</v>
      </c>
    </row>
    <row r="742" spans="1:2" x14ac:dyDescent="0.25">
      <c r="A742">
        <v>6.8838888110000003</v>
      </c>
      <c r="B742">
        <v>0.12561086900000001</v>
      </c>
    </row>
    <row r="743" spans="1:2" x14ac:dyDescent="0.25">
      <c r="A743">
        <v>6.8938888110000001</v>
      </c>
      <c r="B743">
        <v>0.14593451800000001</v>
      </c>
    </row>
    <row r="744" spans="1:2" x14ac:dyDescent="0.25">
      <c r="A744">
        <v>6.9038888109999998</v>
      </c>
      <c r="B744">
        <v>0.15620141000000001</v>
      </c>
    </row>
    <row r="745" spans="1:2" x14ac:dyDescent="0.25">
      <c r="A745">
        <v>6.9138888109999996</v>
      </c>
      <c r="B745">
        <v>0.169191968</v>
      </c>
    </row>
    <row r="746" spans="1:2" x14ac:dyDescent="0.25">
      <c r="A746">
        <v>6.9238888110000003</v>
      </c>
      <c r="B746">
        <v>0.16431488699999999</v>
      </c>
    </row>
    <row r="747" spans="1:2" x14ac:dyDescent="0.25">
      <c r="A747">
        <v>6.9338888110000001</v>
      </c>
      <c r="B747">
        <v>0.15596662999999999</v>
      </c>
    </row>
    <row r="748" spans="1:2" x14ac:dyDescent="0.25">
      <c r="A748">
        <v>6.9438888109999999</v>
      </c>
      <c r="B748">
        <v>0.13025667299999999</v>
      </c>
    </row>
    <row r="749" spans="1:2" x14ac:dyDescent="0.25">
      <c r="A749">
        <v>6.9538888109999997</v>
      </c>
      <c r="B749">
        <v>0.104682122</v>
      </c>
    </row>
    <row r="750" spans="1:2" x14ac:dyDescent="0.25">
      <c r="A750">
        <v>6.9638888110000003</v>
      </c>
      <c r="B750">
        <v>8.1351485000000001E-2</v>
      </c>
    </row>
    <row r="751" spans="1:2" x14ac:dyDescent="0.25">
      <c r="A751">
        <v>6.9738888110000001</v>
      </c>
      <c r="B751">
        <v>4.6743688999999998E-2</v>
      </c>
    </row>
    <row r="752" spans="1:2" x14ac:dyDescent="0.25">
      <c r="A752">
        <v>6.9838888109999999</v>
      </c>
      <c r="B752">
        <v>1.1282932000000001E-2</v>
      </c>
    </row>
    <row r="753" spans="1:2" x14ac:dyDescent="0.25">
      <c r="A753">
        <v>6.9938888109999997</v>
      </c>
      <c r="B753">
        <v>-2.341799E-2</v>
      </c>
    </row>
    <row r="754" spans="1:2" x14ac:dyDescent="0.25">
      <c r="A754">
        <v>7.0038888110000004</v>
      </c>
      <c r="B754">
        <v>-5.5126834999999999E-2</v>
      </c>
    </row>
    <row r="755" spans="1:2" x14ac:dyDescent="0.25">
      <c r="A755">
        <v>7.0138888110000002</v>
      </c>
      <c r="B755">
        <v>-7.2929819000000007E-2</v>
      </c>
    </row>
    <row r="756" spans="1:2" x14ac:dyDescent="0.25">
      <c r="A756">
        <v>7.023888811</v>
      </c>
      <c r="B756">
        <v>-0.10176473799999999</v>
      </c>
    </row>
    <row r="757" spans="1:2" x14ac:dyDescent="0.25">
      <c r="A757">
        <v>7.0338888109999997</v>
      </c>
      <c r="B757">
        <v>-0.10925301</v>
      </c>
    </row>
    <row r="758" spans="1:2" x14ac:dyDescent="0.25">
      <c r="A758">
        <v>7.0438888110000004</v>
      </c>
      <c r="B758">
        <v>-9.4412173000000002E-2</v>
      </c>
    </row>
    <row r="759" spans="1:2" x14ac:dyDescent="0.25">
      <c r="A759">
        <v>7.0538888110000002</v>
      </c>
      <c r="B759">
        <v>-7.8958880999999995E-2</v>
      </c>
    </row>
    <row r="760" spans="1:2" x14ac:dyDescent="0.25">
      <c r="A760">
        <v>7.063888811</v>
      </c>
      <c r="B760">
        <v>-6.0288609999999999E-2</v>
      </c>
    </row>
    <row r="761" spans="1:2" x14ac:dyDescent="0.25">
      <c r="A761">
        <v>7.0738888109999998</v>
      </c>
      <c r="B761">
        <v>-2.7735645E-2</v>
      </c>
    </row>
    <row r="762" spans="1:2" x14ac:dyDescent="0.25">
      <c r="A762">
        <v>7.0838888109999996</v>
      </c>
      <c r="B762" s="186">
        <v>-3.5800000000000003E-5</v>
      </c>
    </row>
    <row r="763" spans="1:2" x14ac:dyDescent="0.25">
      <c r="A763">
        <v>7.0938888110000002</v>
      </c>
      <c r="B763">
        <v>1.1277704E-2</v>
      </c>
    </row>
    <row r="764" spans="1:2" x14ac:dyDescent="0.25">
      <c r="A764">
        <v>7.103888811</v>
      </c>
      <c r="B764">
        <v>2.4694001E-2</v>
      </c>
    </row>
    <row r="765" spans="1:2" x14ac:dyDescent="0.25">
      <c r="A765">
        <v>7.1138888109999998</v>
      </c>
      <c r="B765">
        <v>2.6940197999999999E-2</v>
      </c>
    </row>
    <row r="766" spans="1:2" x14ac:dyDescent="0.25">
      <c r="A766">
        <v>7.1238888109999996</v>
      </c>
      <c r="B766">
        <v>2.1246395000000001E-2</v>
      </c>
    </row>
    <row r="767" spans="1:2" x14ac:dyDescent="0.25">
      <c r="A767">
        <v>7.1338888110000003</v>
      </c>
      <c r="B767">
        <v>2.6097697E-2</v>
      </c>
    </row>
    <row r="768" spans="1:2" x14ac:dyDescent="0.25">
      <c r="A768">
        <v>7.1438888110000001</v>
      </c>
      <c r="B768">
        <v>2.1891475000000001E-2</v>
      </c>
    </row>
    <row r="769" spans="1:2" x14ac:dyDescent="0.25">
      <c r="A769">
        <v>7.1538888109999998</v>
      </c>
      <c r="B769">
        <v>2.1035554000000001E-2</v>
      </c>
    </row>
    <row r="770" spans="1:2" x14ac:dyDescent="0.25">
      <c r="A770">
        <v>7.1638888109999996</v>
      </c>
      <c r="B770">
        <v>1.1620876E-2</v>
      </c>
    </row>
    <row r="771" spans="1:2" x14ac:dyDescent="0.25">
      <c r="A771">
        <v>7.1738888110000003</v>
      </c>
      <c r="B771">
        <v>-6.720747E-3</v>
      </c>
    </row>
    <row r="772" spans="1:2" x14ac:dyDescent="0.25">
      <c r="A772">
        <v>7.1838888110000001</v>
      </c>
      <c r="B772">
        <v>-1.5875892999999999E-2</v>
      </c>
    </row>
    <row r="773" spans="1:2" x14ac:dyDescent="0.25">
      <c r="A773">
        <v>7.1938888109999999</v>
      </c>
      <c r="B773">
        <v>-2.8128433000000001E-2</v>
      </c>
    </row>
    <row r="774" spans="1:2" x14ac:dyDescent="0.25">
      <c r="A774">
        <v>7.2038888109999997</v>
      </c>
      <c r="B774">
        <v>-3.3305959000000003E-2</v>
      </c>
    </row>
    <row r="775" spans="1:2" x14ac:dyDescent="0.25">
      <c r="A775">
        <v>7.2138888110000003</v>
      </c>
      <c r="B775">
        <v>-2.3597426000000001E-2</v>
      </c>
    </row>
    <row r="776" spans="1:2" x14ac:dyDescent="0.25">
      <c r="A776">
        <v>7.2238888110000001</v>
      </c>
      <c r="B776">
        <v>-8.6845180000000004E-3</v>
      </c>
    </row>
    <row r="777" spans="1:2" x14ac:dyDescent="0.25">
      <c r="A777">
        <v>7.2338888109999999</v>
      </c>
      <c r="B777">
        <v>1.1430404999999999E-2</v>
      </c>
    </row>
    <row r="778" spans="1:2" x14ac:dyDescent="0.25">
      <c r="A778">
        <v>7.2438888109999997</v>
      </c>
      <c r="B778">
        <v>4.1582423E-2</v>
      </c>
    </row>
    <row r="779" spans="1:2" x14ac:dyDescent="0.25">
      <c r="A779">
        <v>7.2538888110000004</v>
      </c>
      <c r="B779">
        <v>7.7549737999999993E-2</v>
      </c>
    </row>
    <row r="780" spans="1:2" x14ac:dyDescent="0.25">
      <c r="A780">
        <v>7.2638888110000002</v>
      </c>
      <c r="B780">
        <v>9.1297469000000006E-2</v>
      </c>
    </row>
    <row r="781" spans="1:2" x14ac:dyDescent="0.25">
      <c r="A781">
        <v>7.273888811</v>
      </c>
      <c r="B781">
        <v>0.11260466700000001</v>
      </c>
    </row>
    <row r="782" spans="1:2" x14ac:dyDescent="0.25">
      <c r="A782">
        <v>7.2838888109999997</v>
      </c>
      <c r="B782">
        <v>0.119265341</v>
      </c>
    </row>
    <row r="783" spans="1:2" x14ac:dyDescent="0.25">
      <c r="A783">
        <v>7.2938888110000004</v>
      </c>
      <c r="B783">
        <v>0.10694496100000001</v>
      </c>
    </row>
    <row r="784" spans="1:2" x14ac:dyDescent="0.25">
      <c r="A784">
        <v>7.3038888110000002</v>
      </c>
      <c r="B784">
        <v>0.100707642</v>
      </c>
    </row>
    <row r="785" spans="1:2" x14ac:dyDescent="0.25">
      <c r="A785">
        <v>7.313888811</v>
      </c>
      <c r="B785">
        <v>9.1992044999999995E-2</v>
      </c>
    </row>
    <row r="786" spans="1:2" x14ac:dyDescent="0.25">
      <c r="A786">
        <v>7.3238888109999998</v>
      </c>
      <c r="B786">
        <v>7.7574339000000006E-2</v>
      </c>
    </row>
    <row r="787" spans="1:2" x14ac:dyDescent="0.25">
      <c r="A787">
        <v>7.3338888109999996</v>
      </c>
      <c r="B787">
        <v>5.1255290000000002E-2</v>
      </c>
    </row>
    <row r="788" spans="1:2" x14ac:dyDescent="0.25">
      <c r="A788">
        <v>7.3438888110000002</v>
      </c>
      <c r="B788">
        <v>2.5071874000000001E-2</v>
      </c>
    </row>
    <row r="789" spans="1:2" x14ac:dyDescent="0.25">
      <c r="A789">
        <v>7.353888811</v>
      </c>
      <c r="B789">
        <v>2.64343E-4</v>
      </c>
    </row>
    <row r="790" spans="1:2" x14ac:dyDescent="0.25">
      <c r="A790">
        <v>7.3638888109999998</v>
      </c>
      <c r="B790">
        <v>-3.4951466E-2</v>
      </c>
    </row>
    <row r="791" spans="1:2" x14ac:dyDescent="0.25">
      <c r="A791">
        <v>7.3738888109999996</v>
      </c>
      <c r="B791">
        <v>-6.0104788999999999E-2</v>
      </c>
    </row>
    <row r="792" spans="1:2" x14ac:dyDescent="0.25">
      <c r="A792">
        <v>7.3838888110000003</v>
      </c>
      <c r="B792">
        <v>-8.1526174000000007E-2</v>
      </c>
    </row>
    <row r="793" spans="1:2" x14ac:dyDescent="0.25">
      <c r="A793">
        <v>7.3938888110000001</v>
      </c>
      <c r="B793">
        <v>-9.1403071000000002E-2</v>
      </c>
    </row>
    <row r="794" spans="1:2" x14ac:dyDescent="0.25">
      <c r="A794">
        <v>7.4038888109999998</v>
      </c>
      <c r="B794">
        <v>-9.9291631000000005E-2</v>
      </c>
    </row>
    <row r="795" spans="1:2" x14ac:dyDescent="0.25">
      <c r="A795">
        <v>7.4138888109999996</v>
      </c>
      <c r="B795">
        <v>-8.8571871999999996E-2</v>
      </c>
    </row>
    <row r="796" spans="1:2" x14ac:dyDescent="0.25">
      <c r="A796">
        <v>7.4238888110000003</v>
      </c>
      <c r="B796">
        <v>-6.2353245000000002E-2</v>
      </c>
    </row>
    <row r="797" spans="1:2" x14ac:dyDescent="0.25">
      <c r="A797">
        <v>7.4338888110000001</v>
      </c>
      <c r="B797">
        <v>-3.4410891999999998E-2</v>
      </c>
    </row>
    <row r="798" spans="1:2" x14ac:dyDescent="0.25">
      <c r="A798">
        <v>7.4438888109999999</v>
      </c>
      <c r="B798">
        <v>-1.1319486E-2</v>
      </c>
    </row>
    <row r="799" spans="1:2" x14ac:dyDescent="0.25">
      <c r="A799">
        <v>7.4538888109999997</v>
      </c>
      <c r="B799">
        <v>1.2628942000000001E-2</v>
      </c>
    </row>
    <row r="800" spans="1:2" x14ac:dyDescent="0.25">
      <c r="A800">
        <v>7.4638888110000003</v>
      </c>
      <c r="B800">
        <v>2.3541946000000001E-2</v>
      </c>
    </row>
    <row r="801" spans="1:2" x14ac:dyDescent="0.25">
      <c r="A801">
        <v>7.4738888110000001</v>
      </c>
      <c r="B801">
        <v>1.4851606999999999E-2</v>
      </c>
    </row>
    <row r="802" spans="1:2" x14ac:dyDescent="0.25">
      <c r="A802">
        <v>7.4838888109999999</v>
      </c>
      <c r="B802">
        <v>1.6459761E-2</v>
      </c>
    </row>
    <row r="803" spans="1:2" x14ac:dyDescent="0.25">
      <c r="A803">
        <v>7.4938888109999997</v>
      </c>
      <c r="B803">
        <v>2.7493419000000002E-2</v>
      </c>
    </row>
    <row r="804" spans="1:2" x14ac:dyDescent="0.25">
      <c r="A804">
        <v>7.5038888110000004</v>
      </c>
      <c r="B804">
        <v>2.3637087000000001E-2</v>
      </c>
    </row>
    <row r="805" spans="1:2" x14ac:dyDescent="0.25">
      <c r="A805">
        <v>7.5138888110000002</v>
      </c>
      <c r="B805">
        <v>2.9580904000000002E-2</v>
      </c>
    </row>
    <row r="806" spans="1:2" x14ac:dyDescent="0.25">
      <c r="A806">
        <v>7.523888811</v>
      </c>
      <c r="B806">
        <v>1.2326626E-2</v>
      </c>
    </row>
    <row r="807" spans="1:2" x14ac:dyDescent="0.25">
      <c r="A807">
        <v>7.5338888109999997</v>
      </c>
      <c r="B807">
        <v>1.6524899999999999E-4</v>
      </c>
    </row>
    <row r="808" spans="1:2" x14ac:dyDescent="0.25">
      <c r="A808">
        <v>7.5438888110000004</v>
      </c>
      <c r="B808">
        <v>-1.2115130999999999E-2</v>
      </c>
    </row>
    <row r="809" spans="1:2" x14ac:dyDescent="0.25">
      <c r="A809">
        <v>7.5538888110000002</v>
      </c>
      <c r="B809">
        <v>-9.1339400000000001E-3</v>
      </c>
    </row>
    <row r="810" spans="1:2" x14ac:dyDescent="0.25">
      <c r="A810">
        <v>7.563888811</v>
      </c>
      <c r="B810">
        <v>-1.2108457E-2</v>
      </c>
    </row>
    <row r="811" spans="1:2" x14ac:dyDescent="0.25">
      <c r="A811">
        <v>7.5738888109999998</v>
      </c>
      <c r="B811">
        <v>-7.1438409999999997E-3</v>
      </c>
    </row>
    <row r="812" spans="1:2" x14ac:dyDescent="0.25">
      <c r="A812">
        <v>7.5838888109999996</v>
      </c>
      <c r="B812">
        <v>4.0197549999999999E-3</v>
      </c>
    </row>
    <row r="813" spans="1:2" x14ac:dyDescent="0.25">
      <c r="A813">
        <v>7.5938888110000002</v>
      </c>
      <c r="B813">
        <v>6.7431799999999997E-3</v>
      </c>
    </row>
    <row r="814" spans="1:2" x14ac:dyDescent="0.25">
      <c r="A814">
        <v>7.603888811</v>
      </c>
      <c r="B814">
        <v>3.6504807E-2</v>
      </c>
    </row>
    <row r="815" spans="1:2" x14ac:dyDescent="0.25">
      <c r="A815">
        <v>7.6138888109999998</v>
      </c>
      <c r="B815">
        <v>6.1538876999999999E-2</v>
      </c>
    </row>
    <row r="816" spans="1:2" x14ac:dyDescent="0.25">
      <c r="A816">
        <v>7.6238888109999996</v>
      </c>
      <c r="B816">
        <v>7.8994779000000001E-2</v>
      </c>
    </row>
    <row r="817" spans="1:2" x14ac:dyDescent="0.25">
      <c r="A817">
        <v>7.6338888110000003</v>
      </c>
      <c r="B817">
        <v>8.4782827000000005E-2</v>
      </c>
    </row>
    <row r="818" spans="1:2" x14ac:dyDescent="0.25">
      <c r="A818">
        <v>7.6438888110000001</v>
      </c>
      <c r="B818">
        <v>8.5606382999999994E-2</v>
      </c>
    </row>
    <row r="819" spans="1:2" x14ac:dyDescent="0.25">
      <c r="A819">
        <v>7.6538888109999998</v>
      </c>
      <c r="B819">
        <v>8.1963882000000002E-2</v>
      </c>
    </row>
    <row r="820" spans="1:2" x14ac:dyDescent="0.25">
      <c r="A820">
        <v>7.6638888109999996</v>
      </c>
      <c r="B820">
        <v>8.0927462000000006E-2</v>
      </c>
    </row>
    <row r="821" spans="1:2" x14ac:dyDescent="0.25">
      <c r="A821">
        <v>7.6738888110000003</v>
      </c>
      <c r="B821">
        <v>8.3984362000000007E-2</v>
      </c>
    </row>
    <row r="822" spans="1:2" x14ac:dyDescent="0.25">
      <c r="A822">
        <v>7.6838888110000001</v>
      </c>
      <c r="B822">
        <v>6.1736022000000002E-2</v>
      </c>
    </row>
    <row r="823" spans="1:2" x14ac:dyDescent="0.25">
      <c r="A823">
        <v>7.6938888109999999</v>
      </c>
      <c r="B823">
        <v>4.7063752E-2</v>
      </c>
    </row>
    <row r="824" spans="1:2" x14ac:dyDescent="0.25">
      <c r="A824">
        <v>7.7038888109999997</v>
      </c>
      <c r="B824">
        <v>2.7560372999999999E-2</v>
      </c>
    </row>
    <row r="825" spans="1:2" x14ac:dyDescent="0.25">
      <c r="A825">
        <v>7.7138888110000003</v>
      </c>
      <c r="B825">
        <v>-2.1579259999999999E-2</v>
      </c>
    </row>
    <row r="826" spans="1:2" x14ac:dyDescent="0.25">
      <c r="A826">
        <v>7.7238888110000001</v>
      </c>
      <c r="B826">
        <v>-6.9704560999999998E-2</v>
      </c>
    </row>
    <row r="827" spans="1:2" x14ac:dyDescent="0.25">
      <c r="A827">
        <v>7.7338888109999999</v>
      </c>
      <c r="B827">
        <v>-0.101435549</v>
      </c>
    </row>
    <row r="828" spans="1:2" x14ac:dyDescent="0.25">
      <c r="A828">
        <v>7.7438888109999997</v>
      </c>
      <c r="B828">
        <v>-0.12496625</v>
      </c>
    </row>
    <row r="829" spans="1:2" x14ac:dyDescent="0.25">
      <c r="A829">
        <v>7.7538888110000004</v>
      </c>
      <c r="B829">
        <v>-0.133230394</v>
      </c>
    </row>
    <row r="830" spans="1:2" x14ac:dyDescent="0.25">
      <c r="A830">
        <v>7.7638888110000002</v>
      </c>
      <c r="B830">
        <v>-0.143228041</v>
      </c>
    </row>
    <row r="831" spans="1:2" x14ac:dyDescent="0.25">
      <c r="A831">
        <v>7.773888811</v>
      </c>
      <c r="B831">
        <v>-0.13982593900000001</v>
      </c>
    </row>
    <row r="832" spans="1:2" x14ac:dyDescent="0.25">
      <c r="A832">
        <v>7.7838888109999997</v>
      </c>
      <c r="B832">
        <v>-0.13903097</v>
      </c>
    </row>
    <row r="833" spans="1:2" x14ac:dyDescent="0.25">
      <c r="A833">
        <v>7.7938888110000004</v>
      </c>
      <c r="B833">
        <v>-0.141462114</v>
      </c>
    </row>
    <row r="834" spans="1:2" x14ac:dyDescent="0.25">
      <c r="A834">
        <v>7.8038888110000002</v>
      </c>
      <c r="B834">
        <v>-0.133473855</v>
      </c>
    </row>
    <row r="835" spans="1:2" x14ac:dyDescent="0.25">
      <c r="A835">
        <v>7.813888811</v>
      </c>
      <c r="B835">
        <v>-0.142234994</v>
      </c>
    </row>
    <row r="836" spans="1:2" x14ac:dyDescent="0.25">
      <c r="A836">
        <v>7.8238888109999998</v>
      </c>
      <c r="B836">
        <v>-0.16786187499999999</v>
      </c>
    </row>
    <row r="837" spans="1:2" x14ac:dyDescent="0.25">
      <c r="A837">
        <v>7.8338888109999996</v>
      </c>
      <c r="B837">
        <v>-0.20154018500000001</v>
      </c>
    </row>
    <row r="838" spans="1:2" x14ac:dyDescent="0.25">
      <c r="A838">
        <v>7.8438888110000002</v>
      </c>
      <c r="B838">
        <v>-0.23148280500000001</v>
      </c>
    </row>
    <row r="839" spans="1:2" x14ac:dyDescent="0.25">
      <c r="A839">
        <v>7.853888811</v>
      </c>
      <c r="B839">
        <v>-0.24032638200000001</v>
      </c>
    </row>
    <row r="840" spans="1:2" x14ac:dyDescent="0.25">
      <c r="A840">
        <v>7.8638888109999998</v>
      </c>
      <c r="B840">
        <v>-0.245073659</v>
      </c>
    </row>
    <row r="841" spans="1:2" x14ac:dyDescent="0.25">
      <c r="A841">
        <v>7.8738888109999996</v>
      </c>
      <c r="B841">
        <v>-0.27028578199999997</v>
      </c>
    </row>
    <row r="842" spans="1:2" x14ac:dyDescent="0.25">
      <c r="A842">
        <v>7.8838888110000003</v>
      </c>
      <c r="B842">
        <v>-0.32004659299999999</v>
      </c>
    </row>
    <row r="843" spans="1:2" x14ac:dyDescent="0.25">
      <c r="A843">
        <v>7.8938888110000001</v>
      </c>
      <c r="B843">
        <v>-0.31545758800000001</v>
      </c>
    </row>
    <row r="844" spans="1:2" x14ac:dyDescent="0.25">
      <c r="A844">
        <v>7.9038888109999998</v>
      </c>
      <c r="B844">
        <v>-0.26262155500000001</v>
      </c>
    </row>
    <row r="845" spans="1:2" x14ac:dyDescent="0.25">
      <c r="A845">
        <v>7.9138888109999996</v>
      </c>
      <c r="B845">
        <v>-0.148536732</v>
      </c>
    </row>
    <row r="846" spans="1:2" x14ac:dyDescent="0.25">
      <c r="A846">
        <v>7.9238888110000003</v>
      </c>
      <c r="B846">
        <v>1.7590229999999998E-2</v>
      </c>
    </row>
    <row r="847" spans="1:2" x14ac:dyDescent="0.25">
      <c r="A847">
        <v>7.9338888110000001</v>
      </c>
      <c r="B847">
        <v>0.158212831</v>
      </c>
    </row>
    <row r="848" spans="1:2" x14ac:dyDescent="0.25">
      <c r="A848">
        <v>7.9438888109999999</v>
      </c>
      <c r="B848">
        <v>0.27396328599999997</v>
      </c>
    </row>
    <row r="849" spans="1:2" x14ac:dyDescent="0.25">
      <c r="A849">
        <v>7.9538888109999997</v>
      </c>
      <c r="B849">
        <v>0.41421986799999999</v>
      </c>
    </row>
    <row r="850" spans="1:2" x14ac:dyDescent="0.25">
      <c r="A850">
        <v>7.9638888110000003</v>
      </c>
      <c r="B850">
        <v>0.61047690300000002</v>
      </c>
    </row>
    <row r="851" spans="1:2" x14ac:dyDescent="0.25">
      <c r="A851">
        <v>7.9738888110000001</v>
      </c>
      <c r="B851">
        <v>0.81842794699999999</v>
      </c>
    </row>
    <row r="852" spans="1:2" x14ac:dyDescent="0.25">
      <c r="A852">
        <v>7.9838888109999999</v>
      </c>
      <c r="B852">
        <v>1.077635742</v>
      </c>
    </row>
    <row r="853" spans="1:2" x14ac:dyDescent="0.25">
      <c r="A853">
        <v>7.9938888109999997</v>
      </c>
      <c r="B853">
        <v>1.3953954019999999</v>
      </c>
    </row>
    <row r="854" spans="1:2" x14ac:dyDescent="0.25">
      <c r="A854">
        <v>8.0038888109999995</v>
      </c>
      <c r="B854">
        <v>1.81869053</v>
      </c>
    </row>
    <row r="855" spans="1:2" x14ac:dyDescent="0.25">
      <c r="A855">
        <v>8.0138888109999993</v>
      </c>
      <c r="B855">
        <v>2.343256196</v>
      </c>
    </row>
    <row r="856" spans="1:2" x14ac:dyDescent="0.25">
      <c r="A856">
        <v>8.0238888110000008</v>
      </c>
      <c r="B856">
        <v>2.9814505470000001</v>
      </c>
    </row>
    <row r="857" spans="1:2" x14ac:dyDescent="0.25">
      <c r="A857">
        <v>8.0338888110000006</v>
      </c>
      <c r="B857">
        <v>3.6408153130000001</v>
      </c>
    </row>
    <row r="858" spans="1:2" x14ac:dyDescent="0.25">
      <c r="A858">
        <v>8.0438888110000004</v>
      </c>
      <c r="B858">
        <v>4.3083182579999999</v>
      </c>
    </row>
    <row r="859" spans="1:2" x14ac:dyDescent="0.25">
      <c r="A859">
        <v>8.0538888110000002</v>
      </c>
      <c r="B859">
        <v>4.951583437</v>
      </c>
    </row>
    <row r="860" spans="1:2" x14ac:dyDescent="0.25">
      <c r="A860">
        <v>8.063888811</v>
      </c>
      <c r="B860">
        <v>5.5778174360000001</v>
      </c>
    </row>
    <row r="861" spans="1:2" x14ac:dyDescent="0.25">
      <c r="A861">
        <v>8.0738888109999998</v>
      </c>
      <c r="B861">
        <v>6.2330469549999998</v>
      </c>
    </row>
    <row r="862" spans="1:2" x14ac:dyDescent="0.25">
      <c r="A862">
        <v>8.0838888109999996</v>
      </c>
      <c r="B862">
        <v>6.9346251030000001</v>
      </c>
    </row>
    <row r="863" spans="1:2" x14ac:dyDescent="0.25">
      <c r="A863">
        <v>8.0938888109999994</v>
      </c>
      <c r="B863">
        <v>7.6843925149999999</v>
      </c>
    </row>
    <row r="864" spans="1:2" x14ac:dyDescent="0.25">
      <c r="A864">
        <v>8.1038888109999991</v>
      </c>
      <c r="B864">
        <v>8.4461098230000005</v>
      </c>
    </row>
    <row r="865" spans="1:2" x14ac:dyDescent="0.25">
      <c r="A865">
        <v>8.1138888110000007</v>
      </c>
      <c r="B865">
        <v>9.2091059009999992</v>
      </c>
    </row>
    <row r="866" spans="1:2" x14ac:dyDescent="0.25">
      <c r="A866">
        <v>8.1238888110000005</v>
      </c>
      <c r="B866">
        <v>9.921906474</v>
      </c>
    </row>
    <row r="867" spans="1:2" x14ac:dyDescent="0.25">
      <c r="A867">
        <v>8.1338888110000003</v>
      </c>
      <c r="B867">
        <v>10.57362082</v>
      </c>
    </row>
    <row r="868" spans="1:2" x14ac:dyDescent="0.25">
      <c r="A868">
        <v>8.1438888110000001</v>
      </c>
      <c r="B868">
        <v>11.18226364</v>
      </c>
    </row>
    <row r="869" spans="1:2" x14ac:dyDescent="0.25">
      <c r="A869">
        <v>8.1538888109999998</v>
      </c>
      <c r="B869">
        <v>11.73408785</v>
      </c>
    </row>
    <row r="870" spans="1:2" x14ac:dyDescent="0.25">
      <c r="A870">
        <v>8.1638888109999996</v>
      </c>
      <c r="B870">
        <v>12.25950965</v>
      </c>
    </row>
    <row r="871" spans="1:2" x14ac:dyDescent="0.25">
      <c r="A871">
        <v>8.1738888109999994</v>
      </c>
      <c r="B871">
        <v>12.75705372</v>
      </c>
    </row>
    <row r="872" spans="1:2" x14ac:dyDescent="0.25">
      <c r="A872">
        <v>8.1838888109999992</v>
      </c>
      <c r="B872">
        <v>13.21395806</v>
      </c>
    </row>
    <row r="873" spans="1:2" x14ac:dyDescent="0.25">
      <c r="A873">
        <v>8.1938888110000008</v>
      </c>
      <c r="B873">
        <v>13.61560588</v>
      </c>
    </row>
    <row r="874" spans="1:2" x14ac:dyDescent="0.25">
      <c r="A874">
        <v>8.2038888110000006</v>
      </c>
      <c r="B874">
        <v>13.994396890000001</v>
      </c>
    </row>
    <row r="875" spans="1:2" x14ac:dyDescent="0.25">
      <c r="A875">
        <v>8.2138888110000003</v>
      </c>
      <c r="B875">
        <v>14.367955479999999</v>
      </c>
    </row>
    <row r="876" spans="1:2" x14ac:dyDescent="0.25">
      <c r="A876">
        <v>8.2238888110000001</v>
      </c>
      <c r="B876">
        <v>14.77622453</v>
      </c>
    </row>
    <row r="877" spans="1:2" x14ac:dyDescent="0.25">
      <c r="A877">
        <v>8.2338888109999999</v>
      </c>
      <c r="B877">
        <v>15.2107543</v>
      </c>
    </row>
    <row r="878" spans="1:2" x14ac:dyDescent="0.25">
      <c r="A878">
        <v>8.2438888109999997</v>
      </c>
      <c r="B878">
        <v>15.661982650000001</v>
      </c>
    </row>
    <row r="879" spans="1:2" x14ac:dyDescent="0.25">
      <c r="A879">
        <v>8.2538888109999995</v>
      </c>
      <c r="B879">
        <v>16.097777220000001</v>
      </c>
    </row>
    <row r="880" spans="1:2" x14ac:dyDescent="0.25">
      <c r="A880">
        <v>8.2638888109999993</v>
      </c>
      <c r="B880">
        <v>16.52546405</v>
      </c>
    </row>
    <row r="881" spans="1:2" x14ac:dyDescent="0.25">
      <c r="A881">
        <v>8.2738888110000008</v>
      </c>
      <c r="B881">
        <v>16.929791120000001</v>
      </c>
    </row>
    <row r="882" spans="1:2" x14ac:dyDescent="0.25">
      <c r="A882">
        <v>8.2838888110000006</v>
      </c>
      <c r="B882">
        <v>17.32825905</v>
      </c>
    </row>
    <row r="883" spans="1:2" x14ac:dyDescent="0.25">
      <c r="A883">
        <v>8.2938888110000004</v>
      </c>
      <c r="B883">
        <v>17.726824969999999</v>
      </c>
    </row>
    <row r="884" spans="1:2" x14ac:dyDescent="0.25">
      <c r="A884">
        <v>8.3038888110000002</v>
      </c>
      <c r="B884">
        <v>18.10452733</v>
      </c>
    </row>
    <row r="885" spans="1:2" x14ac:dyDescent="0.25">
      <c r="A885">
        <v>8.313888811</v>
      </c>
      <c r="B885">
        <v>18.469314700000002</v>
      </c>
    </row>
    <row r="886" spans="1:2" x14ac:dyDescent="0.25">
      <c r="A886">
        <v>8.3238888109999998</v>
      </c>
      <c r="B886">
        <v>18.804076599999998</v>
      </c>
    </row>
    <row r="887" spans="1:2" x14ac:dyDescent="0.25">
      <c r="A887">
        <v>8.3338888109999996</v>
      </c>
      <c r="B887">
        <v>19.123339640000001</v>
      </c>
    </row>
    <row r="888" spans="1:2" x14ac:dyDescent="0.25">
      <c r="A888">
        <v>8.3438888109999994</v>
      </c>
      <c r="B888">
        <v>19.39436581</v>
      </c>
    </row>
    <row r="889" spans="1:2" x14ac:dyDescent="0.25">
      <c r="A889">
        <v>8.3538888109999991</v>
      </c>
      <c r="B889">
        <v>19.607626870000001</v>
      </c>
    </row>
    <row r="890" spans="1:2" x14ac:dyDescent="0.25">
      <c r="A890">
        <v>8.3638888110000007</v>
      </c>
      <c r="B890">
        <v>19.78138307</v>
      </c>
    </row>
    <row r="891" spans="1:2" x14ac:dyDescent="0.25">
      <c r="A891">
        <v>8.3738888110000005</v>
      </c>
      <c r="B891">
        <v>19.941824520000001</v>
      </c>
    </row>
    <row r="892" spans="1:2" x14ac:dyDescent="0.25">
      <c r="A892">
        <v>8.3838888110000003</v>
      </c>
      <c r="B892">
        <v>20.0523667</v>
      </c>
    </row>
    <row r="893" spans="1:2" x14ac:dyDescent="0.25">
      <c r="A893">
        <v>8.3938888110000001</v>
      </c>
      <c r="B893">
        <v>20.152972429999998</v>
      </c>
    </row>
    <row r="894" spans="1:2" x14ac:dyDescent="0.25">
      <c r="A894">
        <v>8.4038888109999998</v>
      </c>
      <c r="B894">
        <v>20.235459899999999</v>
      </c>
    </row>
    <row r="895" spans="1:2" x14ac:dyDescent="0.25">
      <c r="A895">
        <v>8.4138888109999996</v>
      </c>
      <c r="B895">
        <v>20.28172812</v>
      </c>
    </row>
    <row r="896" spans="1:2" x14ac:dyDescent="0.25">
      <c r="A896">
        <v>8.4238888109999994</v>
      </c>
      <c r="B896">
        <v>20.32689603</v>
      </c>
    </row>
    <row r="897" spans="1:2" x14ac:dyDescent="0.25">
      <c r="A897">
        <v>8.4338888109999992</v>
      </c>
      <c r="B897">
        <v>20.363273800000002</v>
      </c>
    </row>
    <row r="898" spans="1:2" x14ac:dyDescent="0.25">
      <c r="A898">
        <v>8.4438888110000008</v>
      </c>
      <c r="B898">
        <v>20.421378390000001</v>
      </c>
    </row>
    <row r="899" spans="1:2" x14ac:dyDescent="0.25">
      <c r="A899">
        <v>8.4538888110000006</v>
      </c>
      <c r="B899">
        <v>20.489788399999998</v>
      </c>
    </row>
    <row r="900" spans="1:2" x14ac:dyDescent="0.25">
      <c r="A900">
        <v>8.4638888110000003</v>
      </c>
      <c r="B900">
        <v>20.52905539</v>
      </c>
    </row>
    <row r="901" spans="1:2" x14ac:dyDescent="0.25">
      <c r="A901">
        <v>8.4738888110000001</v>
      </c>
      <c r="B901">
        <v>20.530013969999999</v>
      </c>
    </row>
    <row r="902" spans="1:2" x14ac:dyDescent="0.25">
      <c r="A902">
        <v>8.4838888109999999</v>
      </c>
      <c r="B902">
        <v>20.499751710000002</v>
      </c>
    </row>
    <row r="903" spans="1:2" x14ac:dyDescent="0.25">
      <c r="A903">
        <v>8.4938888109999997</v>
      </c>
      <c r="B903">
        <v>20.45887282</v>
      </c>
    </row>
    <row r="904" spans="1:2" x14ac:dyDescent="0.25">
      <c r="A904">
        <v>8.5038888109999995</v>
      </c>
      <c r="B904">
        <v>20.428344110000001</v>
      </c>
    </row>
    <row r="905" spans="1:2" x14ac:dyDescent="0.25">
      <c r="A905">
        <v>8.5138888109999993</v>
      </c>
      <c r="B905">
        <v>20.361150720000001</v>
      </c>
    </row>
    <row r="906" spans="1:2" x14ac:dyDescent="0.25">
      <c r="A906">
        <v>8.5238888110000008</v>
      </c>
      <c r="B906">
        <v>20.231633630000001</v>
      </c>
    </row>
    <row r="907" spans="1:2" x14ac:dyDescent="0.25">
      <c r="A907">
        <v>8.5338888110000006</v>
      </c>
      <c r="B907">
        <v>20.010672450000001</v>
      </c>
    </row>
    <row r="908" spans="1:2" x14ac:dyDescent="0.25">
      <c r="A908">
        <v>8.5438888110000004</v>
      </c>
      <c r="B908">
        <v>19.676106099999998</v>
      </c>
    </row>
    <row r="909" spans="1:2" x14ac:dyDescent="0.25">
      <c r="A909">
        <v>8.5538888110000002</v>
      </c>
      <c r="B909">
        <v>19.272887239999999</v>
      </c>
    </row>
    <row r="910" spans="1:2" x14ac:dyDescent="0.25">
      <c r="A910">
        <v>8.563888811</v>
      </c>
      <c r="B910">
        <v>18.802534919999999</v>
      </c>
    </row>
    <row r="911" spans="1:2" x14ac:dyDescent="0.25">
      <c r="A911">
        <v>8.5738888109999998</v>
      </c>
      <c r="B911">
        <v>18.317670419999999</v>
      </c>
    </row>
    <row r="912" spans="1:2" x14ac:dyDescent="0.25">
      <c r="A912">
        <v>8.5838888109999996</v>
      </c>
      <c r="B912">
        <v>17.859851540000001</v>
      </c>
    </row>
    <row r="913" spans="1:2" x14ac:dyDescent="0.25">
      <c r="A913">
        <v>8.5938888109999994</v>
      </c>
      <c r="B913">
        <v>17.328471019999999</v>
      </c>
    </row>
    <row r="914" spans="1:2" x14ac:dyDescent="0.25">
      <c r="A914">
        <v>8.6038888109999991</v>
      </c>
      <c r="B914">
        <v>16.679032299999999</v>
      </c>
    </row>
    <row r="915" spans="1:2" x14ac:dyDescent="0.25">
      <c r="A915">
        <v>8.6138888110000007</v>
      </c>
      <c r="B915">
        <v>15.87264072</v>
      </c>
    </row>
    <row r="916" spans="1:2" x14ac:dyDescent="0.25">
      <c r="A916">
        <v>8.6238888110000005</v>
      </c>
      <c r="B916">
        <v>14.92970869</v>
      </c>
    </row>
    <row r="917" spans="1:2" x14ac:dyDescent="0.25">
      <c r="A917">
        <v>8.6338888110000003</v>
      </c>
      <c r="B917">
        <v>13.867414</v>
      </c>
    </row>
    <row r="918" spans="1:2" x14ac:dyDescent="0.25">
      <c r="A918">
        <v>8.6438888110000001</v>
      </c>
      <c r="B918">
        <v>12.754897679999999</v>
      </c>
    </row>
    <row r="919" spans="1:2" x14ac:dyDescent="0.25">
      <c r="A919">
        <v>8.6538888109999998</v>
      </c>
      <c r="B919">
        <v>11.70207688</v>
      </c>
    </row>
    <row r="920" spans="1:2" x14ac:dyDescent="0.25">
      <c r="A920">
        <v>8.6638888109999996</v>
      </c>
      <c r="B920">
        <v>10.71673614</v>
      </c>
    </row>
    <row r="921" spans="1:2" x14ac:dyDescent="0.25">
      <c r="A921">
        <v>8.6738888109999994</v>
      </c>
      <c r="B921">
        <v>9.8025633889999995</v>
      </c>
    </row>
    <row r="922" spans="1:2" x14ac:dyDescent="0.25">
      <c r="A922">
        <v>8.6838888109999992</v>
      </c>
      <c r="B922">
        <v>8.8669925630000002</v>
      </c>
    </row>
    <row r="923" spans="1:2" x14ac:dyDescent="0.25">
      <c r="A923">
        <v>8.6938888110000008</v>
      </c>
      <c r="B923">
        <v>7.8566957369999999</v>
      </c>
    </row>
    <row r="924" spans="1:2" x14ac:dyDescent="0.25">
      <c r="A924">
        <v>8.7038888110000006</v>
      </c>
      <c r="B924">
        <v>6.8185909889999996</v>
      </c>
    </row>
    <row r="925" spans="1:2" x14ac:dyDescent="0.25">
      <c r="A925">
        <v>8.7138888110000003</v>
      </c>
      <c r="B925">
        <v>5.8406308920000001</v>
      </c>
    </row>
    <row r="926" spans="1:2" x14ac:dyDescent="0.25">
      <c r="A926">
        <v>8.7238888110000001</v>
      </c>
      <c r="B926">
        <v>5.0205265780000001</v>
      </c>
    </row>
    <row r="927" spans="1:2" x14ac:dyDescent="0.25">
      <c r="A927">
        <v>8.7338888109999999</v>
      </c>
      <c r="B927">
        <v>4.3735842229999999</v>
      </c>
    </row>
    <row r="928" spans="1:2" x14ac:dyDescent="0.25">
      <c r="A928">
        <v>8.7438888109999997</v>
      </c>
      <c r="B928">
        <v>3.8651165650000001</v>
      </c>
    </row>
    <row r="929" spans="1:2" x14ac:dyDescent="0.25">
      <c r="A929">
        <v>8.7538888109999995</v>
      </c>
      <c r="B929">
        <v>3.4677707579999999</v>
      </c>
    </row>
    <row r="930" spans="1:2" x14ac:dyDescent="0.25">
      <c r="A930">
        <v>8.7638888109999993</v>
      </c>
      <c r="B930">
        <v>3.1786420010000001</v>
      </c>
    </row>
    <row r="931" spans="1:2" x14ac:dyDescent="0.25">
      <c r="A931">
        <v>8.7738888110000008</v>
      </c>
      <c r="B931">
        <v>2.9413672649999998</v>
      </c>
    </row>
    <row r="932" spans="1:2" x14ac:dyDescent="0.25">
      <c r="A932">
        <v>8.7838888110000006</v>
      </c>
      <c r="B932">
        <v>2.7126334120000002</v>
      </c>
    </row>
    <row r="933" spans="1:2" x14ac:dyDescent="0.25">
      <c r="A933">
        <v>8.7938888110000004</v>
      </c>
      <c r="B933">
        <v>2.5241894299999998</v>
      </c>
    </row>
    <row r="934" spans="1:2" x14ac:dyDescent="0.25">
      <c r="A934">
        <v>8.8038888110000002</v>
      </c>
      <c r="B934">
        <v>2.408265927</v>
      </c>
    </row>
    <row r="935" spans="1:2" x14ac:dyDescent="0.25">
      <c r="A935">
        <v>8.813888811</v>
      </c>
      <c r="B935">
        <v>2.3683023350000001</v>
      </c>
    </row>
    <row r="936" spans="1:2" x14ac:dyDescent="0.25">
      <c r="A936">
        <v>8.8238888109999998</v>
      </c>
      <c r="B936">
        <v>2.4155509689999999</v>
      </c>
    </row>
    <row r="937" spans="1:2" x14ac:dyDescent="0.25">
      <c r="A937">
        <v>8.8338888109999996</v>
      </c>
      <c r="B937">
        <v>2.5017215629999998</v>
      </c>
    </row>
    <row r="938" spans="1:2" x14ac:dyDescent="0.25">
      <c r="A938">
        <v>8.8438888109999994</v>
      </c>
      <c r="B938">
        <v>2.5763134879999998</v>
      </c>
    </row>
    <row r="939" spans="1:2" x14ac:dyDescent="0.25">
      <c r="A939">
        <v>8.8538888109999991</v>
      </c>
      <c r="B939">
        <v>2.5632977800000001</v>
      </c>
    </row>
    <row r="940" spans="1:2" x14ac:dyDescent="0.25">
      <c r="A940">
        <v>8.8638888110000007</v>
      </c>
      <c r="B940">
        <v>2.5060035279999999</v>
      </c>
    </row>
    <row r="941" spans="1:2" x14ac:dyDescent="0.25">
      <c r="A941">
        <v>8.8738888110000005</v>
      </c>
      <c r="B941">
        <v>2.3795196380000001</v>
      </c>
    </row>
    <row r="942" spans="1:2" x14ac:dyDescent="0.25">
      <c r="A942">
        <v>8.8838888110000003</v>
      </c>
      <c r="B942">
        <v>2.2316318060000002</v>
      </c>
    </row>
    <row r="943" spans="1:2" x14ac:dyDescent="0.25">
      <c r="A943">
        <v>8.8938888110000001</v>
      </c>
      <c r="B943">
        <v>2.080582975</v>
      </c>
    </row>
    <row r="944" spans="1:2" x14ac:dyDescent="0.25">
      <c r="A944">
        <v>8.9038888109999998</v>
      </c>
      <c r="B944">
        <v>1.930839623</v>
      </c>
    </row>
    <row r="945" spans="1:2" x14ac:dyDescent="0.25">
      <c r="A945">
        <v>8.9138888109999996</v>
      </c>
      <c r="B945">
        <v>1.789470943</v>
      </c>
    </row>
    <row r="946" spans="1:2" x14ac:dyDescent="0.25">
      <c r="A946">
        <v>8.9238888109999994</v>
      </c>
      <c r="B946">
        <v>1.6306731860000001</v>
      </c>
    </row>
    <row r="947" spans="1:2" x14ac:dyDescent="0.25">
      <c r="A947">
        <v>8.9338888109999992</v>
      </c>
      <c r="B947">
        <v>1.4643769929999999</v>
      </c>
    </row>
    <row r="948" spans="1:2" x14ac:dyDescent="0.25">
      <c r="A948">
        <v>8.9438888110000008</v>
      </c>
      <c r="B948">
        <v>1.293438332</v>
      </c>
    </row>
    <row r="949" spans="1:2" x14ac:dyDescent="0.25">
      <c r="A949">
        <v>8.9538888110000006</v>
      </c>
      <c r="B949">
        <v>1.131999186</v>
      </c>
    </row>
    <row r="950" spans="1:2" x14ac:dyDescent="0.25">
      <c r="A950">
        <v>8.9638888110000003</v>
      </c>
      <c r="B950">
        <v>1.0043660560000001</v>
      </c>
    </row>
    <row r="951" spans="1:2" x14ac:dyDescent="0.25">
      <c r="A951">
        <v>8.9738888110000001</v>
      </c>
      <c r="B951">
        <v>0.92503543499999996</v>
      </c>
    </row>
    <row r="952" spans="1:2" x14ac:dyDescent="0.25">
      <c r="A952">
        <v>8.9838888109999999</v>
      </c>
      <c r="B952">
        <v>0.88939560500000003</v>
      </c>
    </row>
    <row r="953" spans="1:2" x14ac:dyDescent="0.25">
      <c r="A953">
        <v>8.9938888109999997</v>
      </c>
      <c r="B953">
        <v>0.87175083200000003</v>
      </c>
    </row>
    <row r="954" spans="1:2" x14ac:dyDescent="0.25">
      <c r="A954">
        <v>9.0038888109999995</v>
      </c>
      <c r="B954">
        <v>0.86216989600000005</v>
      </c>
    </row>
    <row r="955" spans="1:2" x14ac:dyDescent="0.25">
      <c r="A955">
        <v>9.0138888109999993</v>
      </c>
      <c r="B955">
        <v>0.85630781600000005</v>
      </c>
    </row>
    <row r="956" spans="1:2" x14ac:dyDescent="0.25">
      <c r="A956">
        <v>9.0238888110000008</v>
      </c>
      <c r="B956">
        <v>0.86110894999999998</v>
      </c>
    </row>
    <row r="957" spans="1:2" x14ac:dyDescent="0.25">
      <c r="A957">
        <v>9.0338888110000006</v>
      </c>
      <c r="B957">
        <v>0.88289430000000002</v>
      </c>
    </row>
    <row r="958" spans="1:2" x14ac:dyDescent="0.25">
      <c r="A958">
        <v>9.0438888110000004</v>
      </c>
      <c r="B958">
        <v>0.93381172000000001</v>
      </c>
    </row>
    <row r="959" spans="1:2" x14ac:dyDescent="0.25">
      <c r="A959">
        <v>9.0538888110000002</v>
      </c>
      <c r="B959">
        <v>1.022902615</v>
      </c>
    </row>
    <row r="960" spans="1:2" x14ac:dyDescent="0.25">
      <c r="A960">
        <v>9.063888811</v>
      </c>
      <c r="B960">
        <v>1.106860846</v>
      </c>
    </row>
    <row r="961" spans="1:2" x14ac:dyDescent="0.25">
      <c r="A961">
        <v>9.0738888109999998</v>
      </c>
      <c r="B961">
        <v>1.172665131</v>
      </c>
    </row>
    <row r="962" spans="1:2" x14ac:dyDescent="0.25">
      <c r="A962">
        <v>9.0838888109999996</v>
      </c>
      <c r="B962">
        <v>1.2271460030000001</v>
      </c>
    </row>
    <row r="963" spans="1:2" x14ac:dyDescent="0.25">
      <c r="A963">
        <v>9.0938888109999994</v>
      </c>
      <c r="B963">
        <v>1.2427726779999999</v>
      </c>
    </row>
    <row r="964" spans="1:2" x14ac:dyDescent="0.25">
      <c r="A964">
        <v>9.1038888109999991</v>
      </c>
      <c r="B964">
        <v>1.2454867510000001</v>
      </c>
    </row>
    <row r="965" spans="1:2" x14ac:dyDescent="0.25">
      <c r="A965">
        <v>9.1138888110000007</v>
      </c>
      <c r="B965">
        <v>1.271760969</v>
      </c>
    </row>
    <row r="966" spans="1:2" x14ac:dyDescent="0.25">
      <c r="A966">
        <v>9.1238888110000005</v>
      </c>
      <c r="B966">
        <v>1.3065761380000001</v>
      </c>
    </row>
    <row r="967" spans="1:2" x14ac:dyDescent="0.25">
      <c r="A967">
        <v>9.1338888110000003</v>
      </c>
      <c r="B967">
        <v>1.323632656</v>
      </c>
    </row>
    <row r="968" spans="1:2" x14ac:dyDescent="0.25">
      <c r="A968">
        <v>9.1438888110000001</v>
      </c>
      <c r="B968">
        <v>1.317481143</v>
      </c>
    </row>
    <row r="969" spans="1:2" x14ac:dyDescent="0.25">
      <c r="A969">
        <v>9.1538888109999998</v>
      </c>
      <c r="B969">
        <v>1.2876361409999999</v>
      </c>
    </row>
    <row r="970" spans="1:2" x14ac:dyDescent="0.25">
      <c r="A970">
        <v>9.1638888109999996</v>
      </c>
      <c r="B970">
        <v>1.251473646</v>
      </c>
    </row>
    <row r="971" spans="1:2" x14ac:dyDescent="0.25">
      <c r="A971">
        <v>9.1738888109999994</v>
      </c>
      <c r="B971">
        <v>1.2241289829999999</v>
      </c>
    </row>
    <row r="972" spans="1:2" x14ac:dyDescent="0.25">
      <c r="A972">
        <v>9.1838888109999992</v>
      </c>
      <c r="B972">
        <v>1.1966674260000001</v>
      </c>
    </row>
    <row r="973" spans="1:2" x14ac:dyDescent="0.25">
      <c r="A973">
        <v>9.1938888110000008</v>
      </c>
      <c r="B973">
        <v>1.199850082</v>
      </c>
    </row>
    <row r="974" spans="1:2" x14ac:dyDescent="0.25">
      <c r="A974">
        <v>9.2038888110000006</v>
      </c>
      <c r="B974">
        <v>1.2026537209999999</v>
      </c>
    </row>
    <row r="975" spans="1:2" x14ac:dyDescent="0.25">
      <c r="A975">
        <v>9.2138888110000003</v>
      </c>
      <c r="B975">
        <v>1.188457638</v>
      </c>
    </row>
    <row r="976" spans="1:2" x14ac:dyDescent="0.25">
      <c r="A976">
        <v>9.2238888110000001</v>
      </c>
      <c r="B976">
        <v>1.1877826650000001</v>
      </c>
    </row>
    <row r="977" spans="1:2" x14ac:dyDescent="0.25">
      <c r="A977">
        <v>9.2338888109999999</v>
      </c>
      <c r="B977">
        <v>1.187102608</v>
      </c>
    </row>
    <row r="978" spans="1:2" x14ac:dyDescent="0.25">
      <c r="A978">
        <v>9.2438888109999997</v>
      </c>
      <c r="B978">
        <v>1.187533824</v>
      </c>
    </row>
    <row r="979" spans="1:2" x14ac:dyDescent="0.25">
      <c r="A979">
        <v>9.2538888109999995</v>
      </c>
      <c r="B979">
        <v>1.1898200459999999</v>
      </c>
    </row>
    <row r="980" spans="1:2" x14ac:dyDescent="0.25">
      <c r="A980">
        <v>9.2638888109999993</v>
      </c>
      <c r="B980">
        <v>1.173618439</v>
      </c>
    </row>
    <row r="981" spans="1:2" x14ac:dyDescent="0.25">
      <c r="A981">
        <v>9.2738888110000008</v>
      </c>
      <c r="B981">
        <v>1.1532017160000001</v>
      </c>
    </row>
    <row r="982" spans="1:2" x14ac:dyDescent="0.25">
      <c r="A982">
        <v>9.2838888110000006</v>
      </c>
      <c r="B982">
        <v>1.1366341790000001</v>
      </c>
    </row>
    <row r="983" spans="1:2" x14ac:dyDescent="0.25">
      <c r="A983">
        <v>9.2938888110000004</v>
      </c>
      <c r="B983">
        <v>1.106300842</v>
      </c>
    </row>
    <row r="984" spans="1:2" x14ac:dyDescent="0.25">
      <c r="A984">
        <v>9.3038888110000002</v>
      </c>
      <c r="B984">
        <v>1.074611666</v>
      </c>
    </row>
    <row r="985" spans="1:2" x14ac:dyDescent="0.25">
      <c r="A985">
        <v>9.313888811</v>
      </c>
      <c r="B985">
        <v>1.0488853950000001</v>
      </c>
    </row>
    <row r="986" spans="1:2" x14ac:dyDescent="0.25">
      <c r="A986">
        <v>9.3238888109999998</v>
      </c>
      <c r="B986">
        <v>1.0106377950000001</v>
      </c>
    </row>
    <row r="987" spans="1:2" x14ac:dyDescent="0.25">
      <c r="A987">
        <v>9.3338888109999996</v>
      </c>
      <c r="B987">
        <v>0.96483604000000001</v>
      </c>
    </row>
    <row r="988" spans="1:2" x14ac:dyDescent="0.25">
      <c r="A988">
        <v>9.3438888109999994</v>
      </c>
      <c r="B988">
        <v>0.90999509300000003</v>
      </c>
    </row>
    <row r="989" spans="1:2" x14ac:dyDescent="0.25">
      <c r="A989">
        <v>9.3538888109999991</v>
      </c>
      <c r="B989">
        <v>0.85802654300000003</v>
      </c>
    </row>
    <row r="990" spans="1:2" x14ac:dyDescent="0.25">
      <c r="A990">
        <v>9.3638888110000007</v>
      </c>
      <c r="B990">
        <v>0.80185889700000001</v>
      </c>
    </row>
    <row r="991" spans="1:2" x14ac:dyDescent="0.25">
      <c r="A991">
        <v>9.3738888110000005</v>
      </c>
      <c r="B991">
        <v>0.73988151999999996</v>
      </c>
    </row>
    <row r="992" spans="1:2" x14ac:dyDescent="0.25">
      <c r="A992">
        <v>9.3838888110000003</v>
      </c>
      <c r="B992">
        <v>0.70471861800000002</v>
      </c>
    </row>
    <row r="993" spans="1:2" x14ac:dyDescent="0.25">
      <c r="A993">
        <v>9.3938888110000001</v>
      </c>
      <c r="B993">
        <v>0.67948882499999996</v>
      </c>
    </row>
    <row r="994" spans="1:2" x14ac:dyDescent="0.25">
      <c r="A994">
        <v>9.4038888109999998</v>
      </c>
      <c r="B994">
        <v>0.66753653199999996</v>
      </c>
    </row>
    <row r="995" spans="1:2" x14ac:dyDescent="0.25">
      <c r="A995">
        <v>9.4138888109999996</v>
      </c>
      <c r="B995">
        <v>0.66203361800000005</v>
      </c>
    </row>
    <row r="996" spans="1:2" x14ac:dyDescent="0.25">
      <c r="A996">
        <v>9.4238888109999994</v>
      </c>
      <c r="B996">
        <v>0.65987621399999996</v>
      </c>
    </row>
    <row r="997" spans="1:2" x14ac:dyDescent="0.25">
      <c r="A997">
        <v>9.4338888109999992</v>
      </c>
      <c r="B997">
        <v>0.65064372599999998</v>
      </c>
    </row>
    <row r="998" spans="1:2" x14ac:dyDescent="0.25">
      <c r="A998">
        <v>9.4438888110000008</v>
      </c>
      <c r="B998">
        <v>0.66448032300000004</v>
      </c>
    </row>
    <row r="999" spans="1:2" x14ac:dyDescent="0.25">
      <c r="A999">
        <v>9.4538888110000006</v>
      </c>
      <c r="B999">
        <v>0.67867673799999995</v>
      </c>
    </row>
    <row r="1000" spans="1:2" x14ac:dyDescent="0.25">
      <c r="A1000">
        <v>9.4638888110000003</v>
      </c>
      <c r="B1000">
        <v>0.68554259100000003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8</vt:i4>
      </vt:variant>
    </vt:vector>
  </HeadingPairs>
  <TitlesOfParts>
    <vt:vector size="20" baseType="lpstr">
      <vt:lpstr>TMP_MV</vt:lpstr>
      <vt:lpstr>TMP_MV_IMLINK</vt:lpstr>
      <vt:lpstr>TMP_Inputs</vt:lpstr>
      <vt:lpstr>TMP_Diagram_Layout</vt:lpstr>
      <vt:lpstr>CTL_ROI</vt:lpstr>
      <vt:lpstr>CTL_Data_ReadIn</vt:lpstr>
      <vt:lpstr>CTL_Diagrams</vt:lpstr>
      <vt:lpstr>CTL_Fastplot</vt:lpstr>
      <vt:lpstr>CTL_Multiview</vt:lpstr>
      <vt:lpstr>CTL_Multiview_IMLINK</vt:lpstr>
      <vt:lpstr>CTL_Sheet_Overview</vt:lpstr>
      <vt:lpstr>ROI_ROI_Pinj_800_bar</vt:lpstr>
      <vt:lpstr>DIP_cora_version</vt:lpstr>
      <vt:lpstr>DIP_crank_angle_correction</vt:lpstr>
      <vt:lpstr>DIP_pressure_unit</vt:lpstr>
      <vt:lpstr>pre_roi_detection_margin</vt:lpstr>
      <vt:lpstr>pre_roi_massflow_column</vt:lpstr>
      <vt:lpstr>pre_roi_smoothing_margin</vt:lpstr>
      <vt:lpstr>pre_roi_time_column</vt:lpstr>
      <vt:lpstr>ROI_ROI_Pinj_800_bar!ROI_ROI_Pinj_800_bar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Eder Lucas</dc:creator>
  <cp:lastModifiedBy>Lackner Marcel</cp:lastModifiedBy>
  <cp:lastPrinted>2016-10-31T08:12:32Z</cp:lastPrinted>
  <dcterms:created xsi:type="dcterms:W3CDTF">2016-02-18T10:01:24Z</dcterms:created>
  <dcterms:modified xsi:type="dcterms:W3CDTF">2018-03-07T07:26:37Z</dcterms:modified>
</cp:coreProperties>
</file>